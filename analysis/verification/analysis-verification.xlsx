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ttings" sheetId="2" state="visible" r:id="rId4"/>
    <sheet name="Runs" sheetId="3" state="visible" r:id="rId5"/>
    <sheet name="Quality" sheetId="4" state="visible" r:id="rId6"/>
    <sheet name="Voids" sheetId="5" state="visible" r:id="rId7"/>
    <sheet name="Tes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<sst xmlns="http://schemas.openxmlformats.org/spreadsheetml/2006/main" count="3187" uniqueCount="409">
  <si>
    <t xml:space="preserve">Analysis verification on a small fake grid</t>
  </si>
  <si>
    <t xml:space="preserve">What this is</t>
  </si>
  <si>
    <t xml:space="preserve">A check of the analysis code (plan/analysis) on a fake grid small enough to follow by hand. Every number the analysis produced is set beside the same number computed here by Excel formulas, from the run table's basic columns and the score sheets, or, for the permutation p values, by counting every possible relabelling.</t>
  </si>
  <si>
    <t xml:space="preserve">The fake grid</t>
  </si>
  <si>
    <t xml:space="preserve">Two models: gemma-q4 (three arms) and gptoss-20b (two arms, no OFF). Two runs in every task x condition cell (replicates r01 and r02 of the registered schedules), so 12 runs per arm. 64 attempts, 4 of them void, so 60 analysed runs. Every sampled app was graded with a filled score sheet and an API probe file. Made by make_grid.py (the seed and the planted values are written there).</t>
  </si>
  <si>
    <t xml:space="preserve">What was planted</t>
  </si>
  <si>
    <t xml:space="preserve">SEEN: 5% failure, about 40 steps, apps that work 85% of the time, reasoning on 98% of steps at about 150 characters, no silent turns. UNSEEN: 45% failure, about 70 steps, apps that work 35% of the time, reasoning on 70% of steps at about 400 characters, a silent turn in 40% of runs. OFF: 30% failure, no reasoning. Also 8% void attempts, 20% of runs nudged, 15% of graded apps with a substituted or added package. With 12 runs per arm, only the large effects reach significance, which is what a real test should do.</t>
  </si>
  <si>
    <t xml:space="preserve">Colours</t>
  </si>
  <si>
    <t xml:space="preserve">Blue text on a light blue fill: a value copied in (from the analysis output, the fake grid's files, or the planted values). Black: an Excel formula. Green 'ok' or 'close': the check passes. Red 'CHECK' or 'not close': look at that row.</t>
  </si>
  <si>
    <t xml:space="preserve">Runs</t>
  </si>
  <si>
    <t xml:space="preserve">One row per analysed run. Columns A to M are the run table's basic columns. N to U are recomputed by Excel (stratum, failed, log steps, log median, the quality score and API share looked up from the Quality sheet). Then the analysis's own values, then the planted values. Two checks per run: did the analysis read the files correctly (its values equal what was planted), and does Excel's recomputation equal the analysis. On the right, helper columns for the interval check.</t>
  </si>
  <si>
    <t xml:space="preserve">Quality</t>
  </si>
  <si>
    <t xml:space="preserve">Every graded app's item results, the card's weights and the probe's check results. The score, the substituted flag and the API share are Excel formulas. Void attempts that fell in the quality sample are listed too, marked 'no, a void attempt'.</t>
  </si>
  <si>
    <t xml:space="preserve">Voids</t>
  </si>
  <si>
    <t xml:space="preserve">Every attempt in the un-blinding key. Excel marks the void ones, checks that each slot has exactly one analysed attempt and that it is never a void one, and counts attempts and voids per model x arm against the analysis's voids table.</t>
  </si>
  <si>
    <t xml:space="preserve">Tests</t>
  </si>
  <si>
    <t xml:space="preserve">One row per test of the analysis (confirmatory, and the no-nudge and substituted-0 sensitivity reruns). Counts, means and estimates are AVERAGEIFS and COUNTIFS on the Runs sheet. Newcombe intervals (failure, H5) are written out from Wilson's formula and must match exactly. Holm and the verdicts are formulas and must match exactly.</t>
  </si>
  <si>
    <t xml:space="preserve">What Excel cannot redo</t>
  </si>
  <si>
    <t xml:space="preserve">Two numbers come from random resampling and cannot be repeated exactly by formulas. (1) The permutation p: the analysis tries 10,000 random relabellings. With two runs a cell, every possible relabelling (up to 46,656) can be counted, which gives the exact p. exact_p.py does that, written separately from the analysis code. The analysis's p must lie within Monte Carlo error of the exact p. (2) The bootstrap intervals (steps, quality, H3, H4): Excel computes a normal interval with the same variance the rescaled bootstrap targets (the unbiased stratified variance, from the w helper columns on Runs). With two runs a stratum the bootstrap is lumpy, so the two should be close, not equal.</t>
  </si>
  <si>
    <t xml:space="preserve">Summary</t>
  </si>
  <si>
    <t xml:space="preserve">check</t>
  </si>
  <si>
    <t xml:space="preserve">passed / out of</t>
  </si>
  <si>
    <t xml:space="preserve">Runs: read the files right</t>
  </si>
  <si>
    <t xml:space="preserve">Runs: Excel = analysis</t>
  </si>
  <si>
    <t xml:space="preserve">Voids: one analysed attempt per slot</t>
  </si>
  <si>
    <t xml:space="preserve">Voids: counts per model x arm</t>
  </si>
  <si>
    <t xml:space="preserve">Tests: counts, means, estimates</t>
  </si>
  <si>
    <t xml:space="preserve">Tests: Newcombe intervals (exact)</t>
  </si>
  <si>
    <t xml:space="preserve">Tests: bootstrap intervals (close)</t>
  </si>
  <si>
    <t xml:space="preserve">Tests: p within Monte Carlo error of exact</t>
  </si>
  <si>
    <t xml:space="preserve">Tests: Holm</t>
  </si>
  <si>
    <t xml:space="preserve">Tests: verdicts</t>
  </si>
  <si>
    <t xml:space="preserve">Tests: X</t>
  </si>
  <si>
    <t xml:space="preserve">setting</t>
  </si>
  <si>
    <t xml:space="preserve">value</t>
  </si>
  <si>
    <t xml:space="preserve">where it comes from</t>
  </si>
  <si>
    <t xml:space="preserve">alpha</t>
  </si>
  <si>
    <t xml:space="preserve">protocol section 8.1, Holm at alpha = 0.05</t>
  </si>
  <si>
    <t xml:space="preserve">failure equivalence bound (+/-)</t>
  </si>
  <si>
    <t xml:space="preserve">protocol section 8.2, +/-10 percentage points</t>
  </si>
  <si>
    <t xml:space="preserve">steps equivalence bound, low</t>
  </si>
  <si>
    <t xml:space="preserve">protocol section 8.2</t>
  </si>
  <si>
    <t xml:space="preserve">steps equivalence bound, high</t>
  </si>
  <si>
    <t xml:space="preserve">permutations</t>
  </si>
  <si>
    <t xml:space="preserve">protocol section 8.1 (the Monte Carlo p is (1 + hits) / (10,000 + 1))</t>
  </si>
  <si>
    <t xml:space="preserve">z for a 95% interval</t>
  </si>
  <si>
    <t xml:space="preserve">formula</t>
  </si>
  <si>
    <t xml:space="preserve">z for a 90% interval</t>
  </si>
  <si>
    <t xml:space="preserve">tolerance for 6-digit CSV numbers</t>
  </si>
  <si>
    <t xml:space="preserve">the analysis CSVs print 6 significant digits, so matches are checked to a relative 1e-5</t>
  </si>
  <si>
    <t xml:space="preserve">interval 'close' tolerance</t>
  </si>
  <si>
    <t xml:space="preserve">a bootstrap interval end counts as close to the formula interval's end if they differ by at most this share of the interval's width</t>
  </si>
  <si>
    <t xml:space="preserve">blind_id</t>
  </si>
  <si>
    <t xml:space="preserve">model</t>
  </si>
  <si>
    <t xml:space="preserve">task</t>
  </si>
  <si>
    <t xml:space="preserve">condition</t>
  </si>
  <si>
    <t xml:space="preserve">arm</t>
  </si>
  <si>
    <t xml:space="preserve">replicate</t>
  </si>
  <si>
    <t xml:space="preserve">status</t>
  </si>
  <si>
    <t xml:space="preserve">steps</t>
  </si>
  <si>
    <t xml:space="preserve">nudged</t>
  </si>
  <si>
    <t xml:space="preserve">reasoning_rate</t>
  </si>
  <si>
    <t xml:space="preserve">reasoning_median_chars</t>
  </si>
  <si>
    <t xml:space="preserve">silent_turn</t>
  </si>
  <si>
    <t xml:space="preserve">sampled</t>
  </si>
  <si>
    <t xml:space="preserve">stratum</t>
  </si>
  <si>
    <t xml:space="preserve">failed</t>
  </si>
  <si>
    <t xml:space="preserve">log_steps</t>
  </si>
  <si>
    <t xml:space="preserve">log_median_chars</t>
  </si>
  <si>
    <t xml:space="preserve">quality</t>
  </si>
  <si>
    <t xml:space="preserve">quality, substituted scored 0</t>
  </si>
  <si>
    <t xml:space="preserve">substituted</t>
  </si>
  <si>
    <t xml:space="preserve">api_conformance</t>
  </si>
  <si>
    <t xml:space="preserve">analysis: failed</t>
  </si>
  <si>
    <t xml:space="preserve">analysis: log_steps</t>
  </si>
  <si>
    <t xml:space="preserve">analysis: log median</t>
  </si>
  <si>
    <t xml:space="preserve">analysis: quality</t>
  </si>
  <si>
    <t xml:space="preserve">analysis: substituted</t>
  </si>
  <si>
    <t xml:space="preserve">analysis: api_conformance</t>
  </si>
  <si>
    <t xml:space="preserve">planted: status</t>
  </si>
  <si>
    <t xml:space="preserve">planted: steps</t>
  </si>
  <si>
    <t xml:space="preserve">planted: reasoning_rate</t>
  </si>
  <si>
    <t xml:space="preserve">planted: median chars</t>
  </si>
  <si>
    <t xml:space="preserve">planted: silent_turn</t>
  </si>
  <si>
    <t xml:space="preserve">planted: nudged</t>
  </si>
  <si>
    <t xml:space="preserve">check: analysis read the files right (vs planted)</t>
  </si>
  <si>
    <t xml:space="preserve">check: Excel recompute = analysis</t>
  </si>
  <si>
    <t xml:space="preserve">steps: has value</t>
  </si>
  <si>
    <t xml:space="preserve">steps: k in stratum</t>
  </si>
  <si>
    <t xml:space="preserve">steps: stratum mean</t>
  </si>
  <si>
    <t xml:space="preserve">steps: w (for the variance)</t>
  </si>
  <si>
    <t xml:space="preserve">quality: has value</t>
  </si>
  <si>
    <t xml:space="preserve">quality: k in stratum</t>
  </si>
  <si>
    <t xml:space="preserve">quality: stratum mean</t>
  </si>
  <si>
    <t xml:space="preserve">quality: w (for the variance)</t>
  </si>
  <si>
    <t xml:space="preserve">H3: has value</t>
  </si>
  <si>
    <t xml:space="preserve">H3: k in stratum</t>
  </si>
  <si>
    <t xml:space="preserve">H3: stratum mean</t>
  </si>
  <si>
    <t xml:space="preserve">H3: w (for the variance)</t>
  </si>
  <si>
    <t xml:space="preserve">H4: has value</t>
  </si>
  <si>
    <t xml:space="preserve">H4: k in stratum</t>
  </si>
  <si>
    <t xml:space="preserve">H4: stratum mean</t>
  </si>
  <si>
    <t xml:space="preserve">H4: w (for the variance)</t>
  </si>
  <si>
    <t xml:space="preserve">444173</t>
  </si>
  <si>
    <t xml:space="preserve">gemma-q4</t>
  </si>
  <si>
    <t xml:space="preserve">kanban-board</t>
  </si>
  <si>
    <t xml:space="preserve">execution</t>
  </si>
  <si>
    <t xml:space="preserve">off</t>
  </si>
  <si>
    <t xml:space="preserve">finished</t>
  </si>
  <si>
    <t xml:space="preserve">750607</t>
  </si>
  <si>
    <t xml:space="preserve">492366</t>
  </si>
  <si>
    <t xml:space="preserve">unseen</t>
  </si>
  <si>
    <t xml:space="preserve">990307</t>
  </si>
  <si>
    <t xml:space="preserve">truncated_tool_args</t>
  </si>
  <si>
    <t xml:space="preserve">232514</t>
  </si>
  <si>
    <t xml:space="preserve">seen</t>
  </si>
  <si>
    <t xml:space="preserve">207060</t>
  </si>
  <si>
    <t xml:space="preserve">627658</t>
  </si>
  <si>
    <t xml:space="preserve">interactive</t>
  </si>
  <si>
    <t xml:space="preserve">605277</t>
  </si>
  <si>
    <t xml:space="preserve">780140</t>
  </si>
  <si>
    <t xml:space="preserve">budget_exhausted</t>
  </si>
  <si>
    <t xml:space="preserve">705500</t>
  </si>
  <si>
    <t xml:space="preserve">284989</t>
  </si>
  <si>
    <t xml:space="preserve">106538</t>
  </si>
  <si>
    <t xml:space="preserve">496239</t>
  </si>
  <si>
    <t xml:space="preserve">no_verification</t>
  </si>
  <si>
    <t xml:space="preserve">153476</t>
  </si>
  <si>
    <t xml:space="preserve">978461</t>
  </si>
  <si>
    <t xml:space="preserve">truncated_no_tool_call</t>
  </si>
  <si>
    <t xml:space="preserve">238292</t>
  </si>
  <si>
    <t xml:space="preserve">runaway_no_tool_call</t>
  </si>
  <si>
    <t xml:space="preserve">936589</t>
  </si>
  <si>
    <t xml:space="preserve">322790</t>
  </si>
  <si>
    <t xml:space="preserve">507403</t>
  </si>
  <si>
    <t xml:space="preserve">message-board</t>
  </si>
  <si>
    <t xml:space="preserve">139551</t>
  </si>
  <si>
    <t xml:space="preserve">611235</t>
  </si>
  <si>
    <t xml:space="preserve">219323</t>
  </si>
  <si>
    <t xml:space="preserve">279563</t>
  </si>
  <si>
    <t xml:space="preserve">660737</t>
  </si>
  <si>
    <t xml:space="preserve">447712</t>
  </si>
  <si>
    <t xml:space="preserve">761158</t>
  </si>
  <si>
    <t xml:space="preserve">727961</t>
  </si>
  <si>
    <t xml:space="preserve">585892</t>
  </si>
  <si>
    <t xml:space="preserve">stopped_no_tool_call</t>
  </si>
  <si>
    <t xml:space="preserve">237308</t>
  </si>
  <si>
    <t xml:space="preserve">419260</t>
  </si>
  <si>
    <t xml:space="preserve">462617</t>
  </si>
  <si>
    <t xml:space="preserve">context_overflow</t>
  </si>
  <si>
    <t xml:space="preserve">466517</t>
  </si>
  <si>
    <t xml:space="preserve">818793</t>
  </si>
  <si>
    <t xml:space="preserve">724351</t>
  </si>
  <si>
    <t xml:space="preserve">456084</t>
  </si>
  <si>
    <t xml:space="preserve">411973</t>
  </si>
  <si>
    <t xml:space="preserve">150751</t>
  </si>
  <si>
    <t xml:space="preserve">gptoss-20b</t>
  </si>
  <si>
    <t xml:space="preserve">243511</t>
  </si>
  <si>
    <t xml:space="preserve">596254</t>
  </si>
  <si>
    <t xml:space="preserve">864447</t>
  </si>
  <si>
    <t xml:space="preserve">354311</t>
  </si>
  <si>
    <t xml:space="preserve">stuck_blocked_tool</t>
  </si>
  <si>
    <t xml:space="preserve">957859</t>
  </si>
  <si>
    <t xml:space="preserve">877272</t>
  </si>
  <si>
    <t xml:space="preserve">530030</t>
  </si>
  <si>
    <t xml:space="preserve">648182</t>
  </si>
  <si>
    <t xml:space="preserve">812837</t>
  </si>
  <si>
    <t xml:space="preserve">519780</t>
  </si>
  <si>
    <t xml:space="preserve">541866</t>
  </si>
  <si>
    <t xml:space="preserve">170540</t>
  </si>
  <si>
    <t xml:space="preserve">816501</t>
  </si>
  <si>
    <t xml:space="preserve">558095</t>
  </si>
  <si>
    <t xml:space="preserve">351804</t>
  </si>
  <si>
    <t xml:space="preserve">545638</t>
  </si>
  <si>
    <t xml:space="preserve">927045</t>
  </si>
  <si>
    <t xml:space="preserve">753038</t>
  </si>
  <si>
    <t xml:space="preserve">566854</t>
  </si>
  <si>
    <t xml:space="preserve">401052</t>
  </si>
  <si>
    <t xml:space="preserve">203642</t>
  </si>
  <si>
    <t xml:space="preserve">885043</t>
  </si>
  <si>
    <t xml:space="preserve">293761</t>
  </si>
  <si>
    <t xml:space="preserve">Quality score of every graded app, recomputed from its item results (score sheets). Score = 100 x (weight of items passed) / (weight of items passed or failed), rounded to 2 decimals, as score_sheet.py does.</t>
  </si>
  <si>
    <t xml:space="preserve">kanban-board: item</t>
  </si>
  <si>
    <t xml:space="preserve">KB-L0</t>
  </si>
  <si>
    <t xml:space="preserve">KB-L1</t>
  </si>
  <si>
    <t xml:space="preserve">KB-L2</t>
  </si>
  <si>
    <t xml:space="preserve">KB-L3</t>
  </si>
  <si>
    <t xml:space="preserve">KB-F1</t>
  </si>
  <si>
    <t xml:space="preserve">KB-R1</t>
  </si>
  <si>
    <t xml:space="preserve">KB-F2</t>
  </si>
  <si>
    <t xml:space="preserve">KB-F3</t>
  </si>
  <si>
    <t xml:space="preserve">KB-F4</t>
  </si>
  <si>
    <t xml:space="preserve">KB-F5</t>
  </si>
  <si>
    <t xml:space="preserve">KB-R2</t>
  </si>
  <si>
    <t xml:space="preserve">KB-D2</t>
  </si>
  <si>
    <t xml:space="preserve">KB-R3</t>
  </si>
  <si>
    <t xml:space="preserve">KB-D1</t>
  </si>
  <si>
    <t xml:space="preserve">KB-D3</t>
  </si>
  <si>
    <t xml:space="preserve">KB-R4</t>
  </si>
  <si>
    <t xml:space="preserve">KB-D4</t>
  </si>
  <si>
    <t xml:space="preserve">KB-D5</t>
  </si>
  <si>
    <t xml:space="preserve">KB-D9</t>
  </si>
  <si>
    <t xml:space="preserve">KB-C1</t>
  </si>
  <si>
    <t xml:space="preserve">KB-C2</t>
  </si>
  <si>
    <t xml:space="preserve">KB-S1</t>
  </si>
  <si>
    <t xml:space="preserve">KB-P1</t>
  </si>
  <si>
    <t xml:space="preserve">KB-D6</t>
  </si>
  <si>
    <t xml:space="preserve">KB-D7</t>
  </si>
  <si>
    <t xml:space="preserve">KB-U1</t>
  </si>
  <si>
    <t xml:space="preserve">weight</t>
  </si>
  <si>
    <t xml:space="preserve">accommodations</t>
  </si>
  <si>
    <t xml:space="preserve">L0 notes</t>
  </si>
  <si>
    <t xml:space="preserve">score (Excel)</t>
  </si>
  <si>
    <t xml:space="preserve">substituted (Excel)</t>
  </si>
  <si>
    <t xml:space="preserve">probe 1</t>
  </si>
  <si>
    <t xml:space="preserve">probe 2</t>
  </si>
  <si>
    <t xml:space="preserve">probe 3</t>
  </si>
  <si>
    <t xml:space="preserve">probe 4</t>
  </si>
  <si>
    <t xml:space="preserve">probe 5</t>
  </si>
  <si>
    <t xml:space="preserve">probe 6</t>
  </si>
  <si>
    <t xml:space="preserve">probe 7</t>
  </si>
  <si>
    <t xml:space="preserve">probe 8</t>
  </si>
  <si>
    <t xml:space="preserve">probe 9</t>
  </si>
  <si>
    <t xml:space="preserve">probe 10</t>
  </si>
  <si>
    <t xml:space="preserve">API conformance (Excel)</t>
  </si>
  <si>
    <t xml:space="preserve">in the analysis?</t>
  </si>
  <si>
    <t xml:space="preserve">fake</t>
  </si>
  <si>
    <t xml:space="preserve">fail</t>
  </si>
  <si>
    <t xml:space="preserve">pass</t>
  </si>
  <si>
    <t xml:space="preserve">A8</t>
  </si>
  <si>
    <t xml:space="preserve">A8: npm install --no-save concurrently, then npm run dev</t>
  </si>
  <si>
    <t xml:space="preserve">A0</t>
  </si>
  <si>
    <t xml:space="preserve">A0: npm ci stopped with ETARGET, re-run with npm install --no-save pkg@latest</t>
  </si>
  <si>
    <t xml:space="preserve">message-board: item</t>
  </si>
  <si>
    <t xml:space="preserve">MB-L0</t>
  </si>
  <si>
    <t xml:space="preserve">MB-L1</t>
  </si>
  <si>
    <t xml:space="preserve">MB-L2</t>
  </si>
  <si>
    <t xml:space="preserve">MB-L3</t>
  </si>
  <si>
    <t xml:space="preserve">MB-R1</t>
  </si>
  <si>
    <t xml:space="preserve">MB-F1</t>
  </si>
  <si>
    <t xml:space="preserve">MB-F2</t>
  </si>
  <si>
    <t xml:space="preserve">MB-F3</t>
  </si>
  <si>
    <t xml:space="preserve">MB-F4</t>
  </si>
  <si>
    <t xml:space="preserve">MB-R2</t>
  </si>
  <si>
    <t xml:space="preserve">MB-R3</t>
  </si>
  <si>
    <t xml:space="preserve">MB-R4</t>
  </si>
  <si>
    <t xml:space="preserve">MB-D1</t>
  </si>
  <si>
    <t xml:space="preserve">MB-P1</t>
  </si>
  <si>
    <t xml:space="preserve">MB-U1</t>
  </si>
  <si>
    <t xml:space="preserve">131152</t>
  </si>
  <si>
    <t xml:space="preserve">184345</t>
  </si>
  <si>
    <t xml:space="preserve">365762</t>
  </si>
  <si>
    <t xml:space="preserve">820666</t>
  </si>
  <si>
    <t xml:space="preserve">label (the slot)</t>
  </si>
  <si>
    <t xml:space="preserve">agent exit code</t>
  </si>
  <si>
    <t xml:space="preserve">void? (Excel)</t>
  </si>
  <si>
    <t xml:space="preserve">in quality sample</t>
  </si>
  <si>
    <t xml:space="preserve">used in the analysis? (Excel)</t>
  </si>
  <si>
    <t xml:space="preserve">check: one analysed attempt per slot, never a void one</t>
  </si>
  <si>
    <t xml:space="preserve">Per model x arm</t>
  </si>
  <si>
    <t xml:space="preserve">gemma-q4/kanban-board/execution/off/r01</t>
  </si>
  <si>
    <t xml:space="preserve">attempts (Excel)</t>
  </si>
  <si>
    <t xml:space="preserve">void attempts (Excel)</t>
  </si>
  <si>
    <t xml:space="preserve">analysed runs (Excel)</t>
  </si>
  <si>
    <t xml:space="preserve">void attempts in the quality sample (Excel)</t>
  </si>
  <si>
    <t xml:space="preserve">analysis: attempts</t>
  </si>
  <si>
    <t xml:space="preserve">analysis: void attempts</t>
  </si>
  <si>
    <t xml:space="preserve">analysis: analysed runs</t>
  </si>
  <si>
    <t xml:space="preserve">analysis: void in quality sample</t>
  </si>
  <si>
    <t xml:space="preserve">gemma-q4/kanban-board/execution/off/r02</t>
  </si>
  <si>
    <t xml:space="preserve">gemma-q4/kanban-board/execution/seen/r01</t>
  </si>
  <si>
    <t xml:space="preserve">gemma-q4/kanban-board/execution/seen/r02</t>
  </si>
  <si>
    <t xml:space="preserve">gemma-q4/kanban-board/execution/unseen/r01</t>
  </si>
  <si>
    <t xml:space="preserve">gemma-q4/kanban-board/execution/unseen/r02</t>
  </si>
  <si>
    <t xml:space="preserve">gemma-q4/kanban-board/interactive/off/r01</t>
  </si>
  <si>
    <t xml:space="preserve">gemma-q4/kanban-board/interactive/off/r02</t>
  </si>
  <si>
    <t xml:space="preserve">gemma-q4/kanban-board/interactive/seen/r01</t>
  </si>
  <si>
    <t xml:space="preserve">gemma-q4/kanban-board/interactive/seen/r02</t>
  </si>
  <si>
    <t xml:space="preserve">gemma-q4/kanban-board/interactive/unseen/r01</t>
  </si>
  <si>
    <t xml:space="preserve">gemma-q4/kanban-board/interactive/unseen/r02</t>
  </si>
  <si>
    <t xml:space="preserve">gemma-q4/kanban-board/no_verification/off/r01</t>
  </si>
  <si>
    <t xml:space="preserve">gemma-q4/kanban-board/no_verification/off/r02</t>
  </si>
  <si>
    <t xml:space="preserve">gemma-q4/kanban-board/no_verification/seen/r01</t>
  </si>
  <si>
    <t xml:space="preserve">gemma-q4/kanban-board/no_verification/seen/r02</t>
  </si>
  <si>
    <t xml:space="preserve">gemma-q4/kanban-board/no_verification/unseen/r01</t>
  </si>
  <si>
    <t xml:space="preserve">gemma-q4/kanban-board/no_verification/unseen/r02</t>
  </si>
  <si>
    <t xml:space="preserve">gemma-q4/message-board/execution/off/r01</t>
  </si>
  <si>
    <t xml:space="preserve">gemma-q4/message-board/execution/off/r02</t>
  </si>
  <si>
    <t xml:space="preserve">gemma-q4/message-board/execution/seen/r01</t>
  </si>
  <si>
    <t xml:space="preserve">gemma-q4/message-board/execution/seen/r02</t>
  </si>
  <si>
    <t xml:space="preserve">gemma-q4/message-board/execution/unseen/r01</t>
  </si>
  <si>
    <t xml:space="preserve">gemma-q4/message-board/execution/unseen/r02</t>
  </si>
  <si>
    <t xml:space="preserve">gemma-q4/message-board/interactive/off/r01</t>
  </si>
  <si>
    <t xml:space="preserve">gemma-q4/message-board/interactive/off/r02</t>
  </si>
  <si>
    <t xml:space="preserve">gemma-q4/message-board/interactive/seen/r01</t>
  </si>
  <si>
    <t xml:space="preserve">gemma-q4/message-board/interactive/seen/r02</t>
  </si>
  <si>
    <t xml:space="preserve">gemma-q4/message-board/interactive/unseen/r01</t>
  </si>
  <si>
    <t xml:space="preserve">api_error</t>
  </si>
  <si>
    <t xml:space="preserve">gemma-q4/message-board/interactive/unseen/r02</t>
  </si>
  <si>
    <t xml:space="preserve">gemma-q4/message-board/no_verification/off/r01</t>
  </si>
  <si>
    <t xml:space="preserve">gemma-q4/message-board/no_verification/off/r02</t>
  </si>
  <si>
    <t xml:space="preserve">gemma-q4/message-board/no_verification/seen/r01</t>
  </si>
  <si>
    <t xml:space="preserve">gemma-q4/message-board/no_verification/seen/r02</t>
  </si>
  <si>
    <t xml:space="preserve">gemma-q4/message-board/no_verification/unseen/r01</t>
  </si>
  <si>
    <t xml:space="preserve">gemma-q4/message-board/no_verification/unseen/r02</t>
  </si>
  <si>
    <t xml:space="preserve">gptoss-20b/kanban-board/execution/seen/r01</t>
  </si>
  <si>
    <t xml:space="preserve">gptoss-20b/kanban-board/execution/seen/r02</t>
  </si>
  <si>
    <t xml:space="preserve">gptoss-20b/kanban-board/execution/unseen/r01</t>
  </si>
  <si>
    <t xml:space="preserve">gptoss-20b/kanban-board/execution/unseen/r02</t>
  </si>
  <si>
    <t xml:space="preserve">gptoss-20b/kanban-board/interactive/seen/r01</t>
  </si>
  <si>
    <t xml:space="preserve">gptoss-20b/kanban-board/interactive/seen/r02</t>
  </si>
  <si>
    <t xml:space="preserve">gptoss-20b/kanban-board/interactive/unseen/r01</t>
  </si>
  <si>
    <t xml:space="preserve">gptoss-20b/kanban-board/interactive/unseen/r02</t>
  </si>
  <si>
    <t xml:space="preserve">gptoss-20b/kanban-board/no_verification/seen/r01</t>
  </si>
  <si>
    <t xml:space="preserve">gptoss-20b/kanban-board/no_verification/seen/r02</t>
  </si>
  <si>
    <t xml:space="preserve">gptoss-20b/kanban-board/no_verification/unseen/r01</t>
  </si>
  <si>
    <t xml:space="preserve">gptoss-20b/kanban-board/no_verification/unseen/r02</t>
  </si>
  <si>
    <t xml:space="preserve">gptoss-20b/message-board/execution/seen/r01</t>
  </si>
  <si>
    <t xml:space="preserve">gptoss-20b/message-board/execution/seen/r02</t>
  </si>
  <si>
    <t xml:space="preserve">gptoss-20b/message-board/execution/unseen/r01</t>
  </si>
  <si>
    <t xml:space="preserve">gptoss-20b/message-board/execution/unseen/r02</t>
  </si>
  <si>
    <t xml:space="preserve">gptoss-20b/message-board/interactive/seen/r01</t>
  </si>
  <si>
    <t xml:space="preserve">gptoss-20b/message-board/interactive/seen/r02</t>
  </si>
  <si>
    <t xml:space="preserve">gptoss-20b/message-board/interactive/unseen/r01</t>
  </si>
  <si>
    <t xml:space="preserve">gptoss-20b/message-board/interactive/unseen/r02</t>
  </si>
  <si>
    <t xml:space="preserve">gptoss-20b/message-board/no_verification/seen/r01</t>
  </si>
  <si>
    <t xml:space="preserve">gptoss-20b/message-board/no_verification/seen/r02</t>
  </si>
  <si>
    <t xml:space="preserve">gptoss-20b/message-board/no_verification/unseen/r01</t>
  </si>
  <si>
    <t xml:space="preserve">gptoss-20b/message-board/no_verification/unseen/r02</t>
  </si>
  <si>
    <t xml:space="preserve">analysis</t>
  </si>
  <si>
    <t xml:space="preserve">family</t>
  </si>
  <si>
    <t xml:space="preserve">measure</t>
  </si>
  <si>
    <t xml:space="preserve">arm a</t>
  </si>
  <si>
    <t xml:space="preserve">arm b</t>
  </si>
  <si>
    <t xml:space="preserve">alternative</t>
  </si>
  <si>
    <t xml:space="preserve">what is compared</t>
  </si>
  <si>
    <t xml:space="preserve">n a (Excel)</t>
  </si>
  <si>
    <t xml:space="preserve">n b (Excel)</t>
  </si>
  <si>
    <t xml:space="preserve">mean a (Excel)</t>
  </si>
  <si>
    <t xml:space="preserve">mean b (Excel)</t>
  </si>
  <si>
    <t xml:space="preserve">estimate (Excel)</t>
  </si>
  <si>
    <t xml:space="preserve">analysis: n a</t>
  </si>
  <si>
    <t xml:space="preserve">analysis: n b</t>
  </si>
  <si>
    <t xml:space="preserve">analysis: mean a</t>
  </si>
  <si>
    <t xml:space="preserve">analysis: mean b</t>
  </si>
  <si>
    <t xml:space="preserve">analysis: estimate</t>
  </si>
  <si>
    <t xml:space="preserve">check: counts, means, estimate</t>
  </si>
  <si>
    <t xml:space="preserve">interval method</t>
  </si>
  <si>
    <t xml:space="preserve">95% low (Excel)</t>
  </si>
  <si>
    <t xml:space="preserve">95% high (Excel)</t>
  </si>
  <si>
    <t xml:space="preserve">analysis: 95% low</t>
  </si>
  <si>
    <t xml:space="preserve">analysis: 95% high</t>
  </si>
  <si>
    <t xml:space="preserve">90% low (Excel)</t>
  </si>
  <si>
    <t xml:space="preserve">90% high (Excel)</t>
  </si>
  <si>
    <t xml:space="preserve">analysis: 90% low</t>
  </si>
  <si>
    <t xml:space="preserve">analysis: 90% high</t>
  </si>
  <si>
    <t xml:space="preserve">check: intervals</t>
  </si>
  <si>
    <t xml:space="preserve">analysis: p (10,000 random relabellings)</t>
  </si>
  <si>
    <t xml:space="preserve">exact p (every relabelling, exact_p.py)</t>
  </si>
  <si>
    <t xml:space="preserve">relabellings counted</t>
  </si>
  <si>
    <t xml:space="preserve">check: p</t>
  </si>
  <si>
    <t xml:space="preserve">Holm p (Excel)</t>
  </si>
  <si>
    <t xml:space="preserve">analysis: Holm p</t>
  </si>
  <si>
    <t xml:space="preserve">check: Holm</t>
  </si>
  <si>
    <t xml:space="preserve">verdict (Excel)</t>
  </si>
  <si>
    <t xml:space="preserve">analysis: verdict</t>
  </si>
  <si>
    <t xml:space="preserve">check: verdict</t>
  </si>
  <si>
    <t xml:space="preserve">X (Excel)</t>
  </si>
  <si>
    <t xml:space="preserve">analysis: X</t>
  </si>
  <si>
    <t xml:space="preserve">check: X</t>
  </si>
  <si>
    <t xml:space="preserve">Wilson 95 a low</t>
  </si>
  <si>
    <t xml:space="preserve">Wilson 95 a high</t>
  </si>
  <si>
    <t xml:space="preserve">Wilson 95 b low</t>
  </si>
  <si>
    <t xml:space="preserve">Wilson 95 b high</t>
  </si>
  <si>
    <t xml:space="preserve">Wilson 90 a low</t>
  </si>
  <si>
    <t xml:space="preserve">Wilson 90 a high</t>
  </si>
  <si>
    <t xml:space="preserve">Wilson 90 b low</t>
  </si>
  <si>
    <t xml:space="preserve">Wilson 90 b high</t>
  </si>
  <si>
    <t xml:space="preserve">SE of the difference (bootstrap rows)</t>
  </si>
  <si>
    <t xml:space="preserve">confirmatory</t>
  </si>
  <si>
    <t xml:space="preserve">H1</t>
  </si>
  <si>
    <t xml:space="preserve">failure</t>
  </si>
  <si>
    <t xml:space="preserve">two-sided</t>
  </si>
  <si>
    <t xml:space="preserve">share of runs not finished, all runs</t>
  </si>
  <si>
    <t xml:space="preserve">newcombe</t>
  </si>
  <si>
    <t xml:space="preserve">undetermined</t>
  </si>
  <si>
    <t xml:space="preserve">mean log steps, finished runs. Estimate = ratio of geometric means</t>
  </si>
  <si>
    <t xml:space="preserve">bootstrap</t>
  </si>
  <si>
    <t xml:space="preserve">mean quality score, sampled apps</t>
  </si>
  <si>
    <t xml:space="preserve">H2</t>
  </si>
  <si>
    <t xml:space="preserve">H3-H5</t>
  </si>
  <si>
    <t xml:space="preserve">H3</t>
  </si>
  <si>
    <t xml:space="preserve">greater</t>
  </si>
  <si>
    <t xml:space="preserve">mean reasoning rate</t>
  </si>
  <si>
    <t xml:space="preserve">supported</t>
  </si>
  <si>
    <t xml:space="preserve">H4</t>
  </si>
  <si>
    <t xml:space="preserve">less</t>
  </si>
  <si>
    <t xml:space="preserve">mean log of the run's median reasoning characters, runs with a reasoning step. Estimate = ratio</t>
  </si>
  <si>
    <t xml:space="preserve">H5</t>
  </si>
  <si>
    <t xml:space="preserve">share of runs with a silent turn</t>
  </si>
  <si>
    <t xml:space="preserve">not supported</t>
  </si>
  <si>
    <t xml:space="preserve">different</t>
  </si>
  <si>
    <t xml:space="preserve">no-nudge</t>
  </si>
  <si>
    <t xml:space="preserve">share of runs not finished, all runs, runs without a nudge only</t>
  </si>
  <si>
    <t xml:space="preserve">mean log steps, finished runs. Estimate = ratio of geometric means, runs without a nudge only</t>
  </si>
  <si>
    <t xml:space="preserve">not checked (a subset)</t>
  </si>
  <si>
    <t xml:space="preserve">mean quality score, sampled apps, runs without a nudge only</t>
  </si>
  <si>
    <t xml:space="preserve">substituted-0</t>
  </si>
  <si>
    <t xml:space="preserve">mean quality score, sampled apps, substituted apps scored 0</t>
  </si>
</sst>
</file>

<file path=xl/styles.xml><?xml version="1.0" encoding="utf-8"?>
<styleSheet xmlns="http://schemas.openxmlformats.org/spreadsheetml/2006/main">
  <numFmts count="2">
    <numFmt numFmtId="164" formatCode="General"/>
    <numFmt numFmtId="165" formatCode="0.0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b val="true"/>
      <sz val="10"/>
      <name val="Arial"/>
      <family val="0"/>
      <charset val="1"/>
    </font>
    <font>
      <sz val="10"/>
      <color rgb="FF000000"/>
      <name val="Arial"/>
      <family val="0"/>
      <charset val="1"/>
    </font>
    <font>
      <sz val="10"/>
      <color rgb="FF0000FF"/>
      <name val="Arial"/>
      <family val="0"/>
      <charset val="1"/>
    </font>
  </fonts>
  <fills count="4">
    <fill>
      <patternFill patternType="none"/>
    </fill>
    <fill>
      <patternFill patternType="gray125"/>
    </fill>
    <fill>
      <patternFill patternType="solid">
        <fgColor rgb="FFD9E1F2"/>
        <bgColor rgb="FFEEF3FB"/>
      </patternFill>
    </fill>
    <fill>
      <patternFill patternType="solid">
        <fgColor rgb="FFEEF3FB"/>
        <bgColor rgb="FFD9E1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EEF3FB"/>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0</v>
      </c>
      <c r="B1" s="2"/>
    </row>
    <row r="2" customFormat="false" ht="15" hidden="false" customHeight="false" outlineLevel="0" collapsed="false">
      <c r="A2" s="2"/>
      <c r="B2" s="2"/>
    </row>
    <row r="3" customFormat="false" ht="45" hidden="false" customHeight="true" outlineLevel="0" collapsed="false">
      <c r="A3" s="3" t="s">
        <v>1</v>
      </c>
      <c r="B3" s="4" t="s">
        <v>2</v>
      </c>
    </row>
    <row r="4" customFormat="false" ht="60" hidden="false" customHeight="true" outlineLevel="0" collapsed="false">
      <c r="A4" s="3" t="s">
        <v>3</v>
      </c>
      <c r="B4" s="4" t="s">
        <v>4</v>
      </c>
    </row>
    <row r="5" customFormat="false" ht="75" hidden="false" customHeight="true" outlineLevel="0" collapsed="false">
      <c r="A5" s="3" t="s">
        <v>5</v>
      </c>
      <c r="B5" s="4" t="s">
        <v>6</v>
      </c>
    </row>
    <row r="6" customFormat="false" ht="30" hidden="false" customHeight="true" outlineLevel="0" collapsed="false">
      <c r="A6" s="3" t="s">
        <v>7</v>
      </c>
      <c r="B6" s="4" t="s">
        <v>8</v>
      </c>
    </row>
    <row r="7" customFormat="false" ht="60" hidden="false" customHeight="true" outlineLevel="0" collapsed="false">
      <c r="A7" s="3" t="s">
        <v>9</v>
      </c>
      <c r="B7" s="4" t="s">
        <v>10</v>
      </c>
    </row>
    <row r="8" customFormat="false" ht="45" hidden="false" customHeight="true" outlineLevel="0" collapsed="false">
      <c r="A8" s="3" t="s">
        <v>11</v>
      </c>
      <c r="B8" s="4" t="s">
        <v>12</v>
      </c>
    </row>
    <row r="9" customFormat="false" ht="30" hidden="false" customHeight="true" outlineLevel="0" collapsed="false">
      <c r="A9" s="3" t="s">
        <v>13</v>
      </c>
      <c r="B9" s="4" t="s">
        <v>14</v>
      </c>
    </row>
    <row r="10" customFormat="false" ht="45" hidden="false" customHeight="true" outlineLevel="0" collapsed="false">
      <c r="A10" s="3" t="s">
        <v>15</v>
      </c>
      <c r="B10" s="4" t="s">
        <v>16</v>
      </c>
    </row>
    <row r="11" customFormat="false" ht="90" hidden="false" customHeight="true" outlineLevel="0" collapsed="false">
      <c r="A11" s="3" t="s">
        <v>17</v>
      </c>
      <c r="B11" s="4" t="s">
        <v>18</v>
      </c>
    </row>
    <row r="12" customFormat="false" ht="15" hidden="false" customHeight="false" outlineLevel="0" collapsed="false">
      <c r="A12" s="3" t="s">
        <v>19</v>
      </c>
      <c r="B12" s="2"/>
    </row>
    <row r="13" customFormat="false" ht="15" hidden="false" customHeight="false" outlineLevel="0" collapsed="false">
      <c r="A13" s="5" t="s">
        <v>20</v>
      </c>
      <c r="B13" s="5" t="s">
        <v>21</v>
      </c>
    </row>
    <row r="14" customFormat="false" ht="15" hidden="false" customHeight="false" outlineLevel="0" collapsed="false">
      <c r="A14" s="6" t="s">
        <v>22</v>
      </c>
      <c r="B14" s="6" t="str">
        <f aca="false">COUNTIF(Runs!$AH$2:$AH$61,"ok")&amp;" of 60"</f>
        <v>60 of 60</v>
      </c>
    </row>
    <row r="15" customFormat="false" ht="15" hidden="false" customHeight="false" outlineLevel="0" collapsed="false">
      <c r="A15" s="6" t="s">
        <v>23</v>
      </c>
      <c r="B15" s="6" t="str">
        <f aca="false">COUNTIF(Runs!$AI$2:$AI$61,"ok")&amp;" of 60"</f>
        <v>60 of 60</v>
      </c>
    </row>
    <row r="16" customFormat="false" ht="15" hidden="false" customHeight="false" outlineLevel="0" collapsed="false">
      <c r="A16" s="6" t="s">
        <v>24</v>
      </c>
      <c r="B16" s="6" t="str">
        <f aca="false">COUNTIF(Voids!$J$2:$J$65,"ok")&amp;" of 64"</f>
        <v>64 of 64</v>
      </c>
    </row>
    <row r="17" customFormat="false" ht="15" hidden="false" customHeight="false" outlineLevel="0" collapsed="false">
      <c r="A17" s="6" t="s">
        <v>25</v>
      </c>
      <c r="B17" s="6" t="str">
        <f aca="false">COUNTIF(Voids!$V$3:$V$7,"ok")&amp;" of 5"</f>
        <v>5 of 5</v>
      </c>
    </row>
    <row r="18" customFormat="false" ht="15" hidden="false" customHeight="false" outlineLevel="0" collapsed="false">
      <c r="A18" s="6" t="s">
        <v>26</v>
      </c>
      <c r="B18" s="6" t="str">
        <f aca="false">COUNTIF(Tests!$S$2:$S$25,"ok")&amp;" of 24"</f>
        <v>24 of 24</v>
      </c>
    </row>
    <row r="19" customFormat="false" ht="15" hidden="false" customHeight="false" outlineLevel="0" collapsed="false">
      <c r="A19" s="6" t="s">
        <v>27</v>
      </c>
      <c r="B19" s="6" t="str">
        <f aca="false">COUNTIF(Tests!$AC$2:$AC$25,"ok")&amp;" of 7"</f>
        <v>7 of 7</v>
      </c>
    </row>
    <row r="20" customFormat="false" ht="15" hidden="false" customHeight="false" outlineLevel="0" collapsed="false">
      <c r="A20" s="6" t="s">
        <v>28</v>
      </c>
      <c r="B20" s="6" t="str">
        <f aca="false">COUNTIF(Tests!$AC$2:$AC$25,"close")&amp;" of 10"</f>
        <v>10 of 10</v>
      </c>
    </row>
    <row r="21" customFormat="false" ht="15" hidden="false" customHeight="false" outlineLevel="0" collapsed="false">
      <c r="A21" s="6" t="s">
        <v>29</v>
      </c>
      <c r="B21" s="6" t="str">
        <f aca="false">COUNTIF(Tests!$AG$2:$AG$25,"ok")&amp;" of 24"</f>
        <v>24 of 24</v>
      </c>
    </row>
    <row r="22" customFormat="false" ht="15" hidden="false" customHeight="false" outlineLevel="0" collapsed="false">
      <c r="A22" s="6" t="s">
        <v>30</v>
      </c>
      <c r="B22" s="6" t="str">
        <f aca="false">COUNTIF(Tests!$AJ$2:$AJ$25,"ok")&amp;" of 24"</f>
        <v>24 of 24</v>
      </c>
    </row>
    <row r="23" customFormat="false" ht="15" hidden="false" customHeight="false" outlineLevel="0" collapsed="false">
      <c r="A23" s="6" t="s">
        <v>31</v>
      </c>
      <c r="B23" s="6" t="str">
        <f aca="false">COUNTIF(Tests!$AM$2:$AM$25,"ok")&amp;" of 24"</f>
        <v>24 of 24</v>
      </c>
    </row>
    <row r="24" customFormat="false" ht="15" hidden="false" customHeight="false" outlineLevel="0" collapsed="false">
      <c r="A24" s="6" t="s">
        <v>32</v>
      </c>
      <c r="B24" s="6" t="str">
        <f aca="false">COUNTIF(Tests!$AP$2:$AP$25,"ok")&amp;" of 24"</f>
        <v>24 of 24</v>
      </c>
    </row>
  </sheetData>
  <conditionalFormatting sqref="B14">
    <cfRule type="cellIs" priority="2" operator="equal" aboveAverage="0" equalAverage="0" bottom="0" percent="0" rank="0" text="" dxfId="0">
      <formula>"60 of 60"</formula>
    </cfRule>
  </conditionalFormatting>
  <conditionalFormatting sqref="B15">
    <cfRule type="cellIs" priority="3" operator="equal" aboveAverage="0" equalAverage="0" bottom="0" percent="0" rank="0" text="" dxfId="0">
      <formula>"60 of 60"</formula>
    </cfRule>
  </conditionalFormatting>
  <conditionalFormatting sqref="B16">
    <cfRule type="cellIs" priority="4" operator="equal" aboveAverage="0" equalAverage="0" bottom="0" percent="0" rank="0" text="" dxfId="0">
      <formula>"64 of 64"</formula>
    </cfRule>
  </conditionalFormatting>
  <conditionalFormatting sqref="B17">
    <cfRule type="cellIs" priority="5" operator="equal" aboveAverage="0" equalAverage="0" bottom="0" percent="0" rank="0" text="" dxfId="0">
      <formula>"5 of 5"</formula>
    </cfRule>
  </conditionalFormatting>
  <conditionalFormatting sqref="B18">
    <cfRule type="cellIs" priority="6" operator="equal" aboveAverage="0" equalAverage="0" bottom="0" percent="0" rank="0" text="" dxfId="0">
      <formula>"24 of 24"</formula>
    </cfRule>
  </conditionalFormatting>
  <conditionalFormatting sqref="B19">
    <cfRule type="cellIs" priority="7" operator="equal" aboveAverage="0" equalAverage="0" bottom="0" percent="0" rank="0" text="" dxfId="0">
      <formula>"7 of 7"</formula>
    </cfRule>
  </conditionalFormatting>
  <conditionalFormatting sqref="B20">
    <cfRule type="cellIs" priority="8" operator="equal" aboveAverage="0" equalAverage="0" bottom="0" percent="0" rank="0" text="" dxfId="0">
      <formula>"10 of 10"</formula>
    </cfRule>
  </conditionalFormatting>
  <conditionalFormatting sqref="B21">
    <cfRule type="cellIs" priority="9" operator="equal" aboveAverage="0" equalAverage="0" bottom="0" percent="0" rank="0" text="" dxfId="0">
      <formula>"24 of 24"</formula>
    </cfRule>
  </conditionalFormatting>
  <conditionalFormatting sqref="B22">
    <cfRule type="cellIs" priority="10" operator="equal" aboveAverage="0" equalAverage="0" bottom="0" percent="0" rank="0" text="" dxfId="0">
      <formula>"24 of 24"</formula>
    </cfRule>
  </conditionalFormatting>
  <conditionalFormatting sqref="B23">
    <cfRule type="cellIs" priority="11" operator="equal" aboveAverage="0" equalAverage="0" bottom="0" percent="0" rank="0" text="" dxfId="0">
      <formula>"24 of 24"</formula>
    </cfRule>
  </conditionalFormatting>
  <conditionalFormatting sqref="B24">
    <cfRule type="cellIs" priority="12" operator="equal" aboveAverage="0" equalAverage="0" bottom="0" percent="0" rank="0" text="" dxfId="0">
      <formula>"24 of 24"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70"/>
  </cols>
  <sheetData>
    <row r="1" customFormat="false" ht="15" hidden="false" customHeight="false" outlineLevel="0" collapsed="false">
      <c r="A1" s="7" t="s">
        <v>33</v>
      </c>
      <c r="B1" s="7" t="s">
        <v>34</v>
      </c>
      <c r="C1" s="7" t="s">
        <v>35</v>
      </c>
    </row>
    <row r="2" customFormat="false" ht="15" hidden="false" customHeight="false" outlineLevel="0" collapsed="false">
      <c r="A2" s="6" t="s">
        <v>36</v>
      </c>
      <c r="B2" s="8" t="n">
        <v>0.05</v>
      </c>
      <c r="C2" s="6" t="s">
        <v>37</v>
      </c>
    </row>
    <row r="3" customFormat="false" ht="15" hidden="false" customHeight="false" outlineLevel="0" collapsed="false">
      <c r="A3" s="6" t="s">
        <v>38</v>
      </c>
      <c r="B3" s="8" t="n">
        <v>0.1</v>
      </c>
      <c r="C3" s="6" t="s">
        <v>39</v>
      </c>
    </row>
    <row r="4" customFormat="false" ht="15" hidden="false" customHeight="false" outlineLevel="0" collapsed="false">
      <c r="A4" s="6" t="s">
        <v>40</v>
      </c>
      <c r="B4" s="8" t="n">
        <v>0.8</v>
      </c>
      <c r="C4" s="6" t="s">
        <v>41</v>
      </c>
    </row>
    <row r="5" customFormat="false" ht="15" hidden="false" customHeight="false" outlineLevel="0" collapsed="false">
      <c r="A5" s="6" t="s">
        <v>42</v>
      </c>
      <c r="B5" s="8" t="n">
        <v>1.25</v>
      </c>
      <c r="C5" s="6" t="s">
        <v>41</v>
      </c>
    </row>
    <row r="6" customFormat="false" ht="15" hidden="false" customHeight="false" outlineLevel="0" collapsed="false">
      <c r="A6" s="6" t="s">
        <v>43</v>
      </c>
      <c r="B6" s="8" t="n">
        <v>10000</v>
      </c>
      <c r="C6" s="6" t="s">
        <v>44</v>
      </c>
    </row>
    <row r="7" customFormat="false" ht="15" hidden="false" customHeight="false" outlineLevel="0" collapsed="false">
      <c r="A7" s="6" t="s">
        <v>45</v>
      </c>
      <c r="B7" s="6" t="n">
        <f aca="false">NORMSINV(0.975)</f>
        <v>1.95996398454005</v>
      </c>
      <c r="C7" s="6" t="s">
        <v>46</v>
      </c>
    </row>
    <row r="8" customFormat="false" ht="15" hidden="false" customHeight="false" outlineLevel="0" collapsed="false">
      <c r="A8" s="6" t="s">
        <v>47</v>
      </c>
      <c r="B8" s="6" t="n">
        <f aca="false">NORMSINV(0.95)</f>
        <v>1.64485362695147</v>
      </c>
      <c r="C8" s="6" t="s">
        <v>46</v>
      </c>
    </row>
    <row r="9" customFormat="false" ht="15" hidden="false" customHeight="false" outlineLevel="0" collapsed="false">
      <c r="A9" s="6" t="s">
        <v>48</v>
      </c>
      <c r="B9" s="8" t="n">
        <v>1E-005</v>
      </c>
      <c r="C9" s="6" t="s">
        <v>49</v>
      </c>
    </row>
    <row r="10" customFormat="false" ht="15" hidden="false" customHeight="false" outlineLevel="0" collapsed="false">
      <c r="A10" s="6" t="s">
        <v>50</v>
      </c>
      <c r="B10" s="8" t="n">
        <v>0.25</v>
      </c>
      <c r="C10" s="6"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3"/>
    <col collapsed="false" customWidth="true" hidden="false" outlineLevel="0" max="4" min="4" style="0" width="15"/>
    <col collapsed="false" customWidth="true" hidden="false" outlineLevel="0" max="52" min="5" style="0" width="11"/>
  </cols>
  <sheetData>
    <row r="1" customFormat="false" ht="75" hidden="false" customHeight="true" outlineLevel="0" collapsed="false">
      <c r="A1" s="7" t="s">
        <v>52</v>
      </c>
      <c r="B1" s="7" t="s">
        <v>53</v>
      </c>
      <c r="C1" s="7" t="s">
        <v>54</v>
      </c>
      <c r="D1" s="7" t="s">
        <v>55</v>
      </c>
      <c r="E1" s="7" t="s">
        <v>56</v>
      </c>
      <c r="F1" s="7" t="s">
        <v>57</v>
      </c>
      <c r="G1" s="7" t="s">
        <v>58</v>
      </c>
      <c r="H1" s="7" t="s">
        <v>59</v>
      </c>
      <c r="I1" s="7" t="s">
        <v>60</v>
      </c>
      <c r="J1" s="7" t="s">
        <v>61</v>
      </c>
      <c r="K1" s="7" t="s">
        <v>62</v>
      </c>
      <c r="L1" s="7" t="s">
        <v>63</v>
      </c>
      <c r="M1" s="7" t="s">
        <v>64</v>
      </c>
      <c r="N1" s="7" t="s">
        <v>65</v>
      </c>
      <c r="O1" s="7" t="s">
        <v>66</v>
      </c>
      <c r="P1" s="7" t="s">
        <v>67</v>
      </c>
      <c r="Q1" s="7" t="s">
        <v>68</v>
      </c>
      <c r="R1" s="7" t="s">
        <v>69</v>
      </c>
      <c r="S1" s="7" t="s">
        <v>70</v>
      </c>
      <c r="T1" s="7" t="s">
        <v>71</v>
      </c>
      <c r="U1" s="7" t="s">
        <v>72</v>
      </c>
      <c r="V1" s="7" t="s">
        <v>73</v>
      </c>
      <c r="W1" s="7" t="s">
        <v>74</v>
      </c>
      <c r="X1" s="7" t="s">
        <v>75</v>
      </c>
      <c r="Y1" s="7" t="s">
        <v>76</v>
      </c>
      <c r="Z1" s="7" t="s">
        <v>77</v>
      </c>
      <c r="AA1" s="7" t="s">
        <v>78</v>
      </c>
      <c r="AB1" s="7" t="s">
        <v>79</v>
      </c>
      <c r="AC1" s="7" t="s">
        <v>80</v>
      </c>
      <c r="AD1" s="7" t="s">
        <v>81</v>
      </c>
      <c r="AE1" s="7" t="s">
        <v>82</v>
      </c>
      <c r="AF1" s="7" t="s">
        <v>83</v>
      </c>
      <c r="AG1" s="7" t="s">
        <v>84</v>
      </c>
      <c r="AH1" s="7" t="s">
        <v>85</v>
      </c>
      <c r="AI1" s="7" t="s">
        <v>86</v>
      </c>
      <c r="AJ1" s="7"/>
      <c r="AK1" s="7" t="s">
        <v>87</v>
      </c>
      <c r="AL1" s="7" t="s">
        <v>88</v>
      </c>
      <c r="AM1" s="7" t="s">
        <v>89</v>
      </c>
      <c r="AN1" s="7" t="s">
        <v>90</v>
      </c>
      <c r="AO1" s="7" t="s">
        <v>91</v>
      </c>
      <c r="AP1" s="7" t="s">
        <v>92</v>
      </c>
      <c r="AQ1" s="7" t="s">
        <v>93</v>
      </c>
      <c r="AR1" s="7" t="s">
        <v>94</v>
      </c>
      <c r="AS1" s="7" t="s">
        <v>95</v>
      </c>
      <c r="AT1" s="7" t="s">
        <v>96</v>
      </c>
      <c r="AU1" s="7" t="s">
        <v>97</v>
      </c>
      <c r="AV1" s="7" t="s">
        <v>98</v>
      </c>
      <c r="AW1" s="7" t="s">
        <v>99</v>
      </c>
      <c r="AX1" s="7" t="s">
        <v>100</v>
      </c>
      <c r="AY1" s="7" t="s">
        <v>101</v>
      </c>
      <c r="AZ1" s="7" t="s">
        <v>102</v>
      </c>
    </row>
    <row r="2" customFormat="false" ht="15" hidden="false" customHeight="false" outlineLevel="0" collapsed="false">
      <c r="A2" s="9" t="s">
        <v>103</v>
      </c>
      <c r="B2" s="9" t="s">
        <v>104</v>
      </c>
      <c r="C2" s="9" t="s">
        <v>105</v>
      </c>
      <c r="D2" s="9" t="s">
        <v>106</v>
      </c>
      <c r="E2" s="9" t="s">
        <v>107</v>
      </c>
      <c r="F2" s="9" t="n">
        <v>1</v>
      </c>
      <c r="G2" s="9" t="s">
        <v>108</v>
      </c>
      <c r="H2" s="9" t="n">
        <v>41</v>
      </c>
      <c r="I2" s="9" t="n">
        <v>0</v>
      </c>
      <c r="J2" s="9" t="n">
        <v>0</v>
      </c>
      <c r="K2" s="9"/>
      <c r="L2" s="9" t="n">
        <v>0</v>
      </c>
      <c r="M2" s="9" t="n">
        <v>1</v>
      </c>
      <c r="N2" s="6" t="str">
        <f aca="false">C2&amp;"|"&amp;D2</f>
        <v>kanban-board|execution</v>
      </c>
      <c r="O2" s="6" t="n">
        <f aca="false">IF(G2="finished",0,1)</f>
        <v>0</v>
      </c>
      <c r="P2" s="6" t="n">
        <f aca="false">IF(O2=0,LN(H2),"")</f>
        <v>3.71357206670431</v>
      </c>
      <c r="Q2" s="6" t="str">
        <f aca="false">IF(ISNUMBER(K2),IF(K2&gt;0,LN(K2),""),"")</f>
        <v/>
      </c>
      <c r="R2" s="6" t="n">
        <f aca="false">IF(M2=1,INDEX(Quality!$AF:$AF,MATCH(A2,Quality!$A:$A,0)),"")</f>
        <v>22</v>
      </c>
      <c r="S2" s="6" t="n">
        <f aca="false">IF(R2="","",IF(T2=1,0,R2))</f>
        <v>0</v>
      </c>
      <c r="T2" s="6" t="n">
        <f aca="false">IF(M2=1,INDEX(Quality!$AG:$AG,MATCH(A2,Quality!$A:$A,0)),0)</f>
        <v>1</v>
      </c>
      <c r="U2" s="6" t="n">
        <f aca="false">IF(M2=1,INDEX(Quality!$AS:$AS,MATCH(A2,Quality!$A:$A,0)),"")</f>
        <v>0.6</v>
      </c>
      <c r="V2" s="9" t="n">
        <v>0</v>
      </c>
      <c r="W2" s="9" t="n">
        <v>3.71357</v>
      </c>
      <c r="X2" s="9"/>
      <c r="Y2" s="9" t="n">
        <v>22</v>
      </c>
      <c r="Z2" s="9" t="n">
        <v>1</v>
      </c>
      <c r="AA2" s="9" t="n">
        <v>0.6</v>
      </c>
      <c r="AB2" s="9" t="s">
        <v>108</v>
      </c>
      <c r="AC2" s="9" t="n">
        <v>41</v>
      </c>
      <c r="AD2" s="9" t="n">
        <v>0</v>
      </c>
      <c r="AE2" s="9"/>
      <c r="AF2" s="9" t="n">
        <v>0</v>
      </c>
      <c r="AG2" s="9" t="n">
        <v>0</v>
      </c>
      <c r="AH2" s="6" t="str">
        <f aca="false">IF(AND(G2=AB2,IF(AND(ISNUMBER(H2),ISNUMBER(AC2)),ABS(N(H2)-N(AC2))&lt;=Settings!$B$9*MAX(1,ABS(N(AC2))),AND(H2="",AC2="")),IF(AND(ISNUMBER(J2),ISNUMBER(AD2)),ABS(N(J2)-N(AD2))&lt;=Settings!$B$9*MAX(1,ABS(N(AD2))),AND(J2="",AD2="")),IF(AND(ISNUMBER(K2),ISNUMBER(AE2)),ABS(N(K2)-N(AE2))&lt;=Settings!$B$9*MAX(1,ABS(N(AE2))),AND(K2="",AE2="")),L2=AF2,I2=AG2),"ok","CHECK")</f>
        <v>ok</v>
      </c>
      <c r="AI2" s="6" t="str">
        <f aca="false">IF(AND(IF(AND(ISNUMBER(O2),ISNUMBER(V2)),ABS(N(O2)-N(V2))&lt;=Settings!$B$9*MAX(1,ABS(N(V2))),AND(O2="",V2="")),IF(AND(ISNUMBER(P2),ISNUMBER(W2)),ABS(N(P2)-N(W2))&lt;=Settings!$B$9*MAX(1,ABS(N(W2))),AND(P2="",W2="")),IF(AND(ISNUMBER(Q2),ISNUMBER(X2)),ABS(N(Q2)-N(X2))&lt;=Settings!$B$9*MAX(1,ABS(N(X2))),AND(Q2="",X2="")),IF(AND(ISNUMBER(R2),ISNUMBER(Y2)),ABS(N(R2)-N(Y2))&lt;=Settings!$B$9*MAX(1,ABS(N(Y2))),AND(R2="",Y2="")),T2=Z2,IF(AND(ISNUMBER(U2),ISNUMBER(AA2)),ABS(N(U2)-N(AA2))&lt;=Settings!$B$9*MAX(1,ABS(N(AA2))),AND(U2="",AA2=""))),"ok","CHECK")</f>
        <v>ok</v>
      </c>
      <c r="AJ2" s="2"/>
      <c r="AK2" s="6" t="n">
        <f aca="false">IF(ISNUMBER(P2),1,0)</f>
        <v>1</v>
      </c>
      <c r="AL2" s="6" t="n">
        <f aca="false">COUNTIFS(Runs!$B$2:$B$61,B2,Runs!$E$2:$E$61,E2,Runs!$N$2:$N$61,N2,Runs!$AK$2:$AK$61,1)</f>
        <v>2</v>
      </c>
      <c r="AM2" s="6" t="n">
        <f aca="false">IF(AK2=1,AVERAGEIFS(Runs!$P$2:$P$61,Runs!$B$2:$B$61,B2,Runs!$E$2:$E$61,E2,Runs!$N$2:$N$61,N2,Runs!$AK$2:$AK$61,1),"")</f>
        <v>3.76011727823731</v>
      </c>
      <c r="AN2" s="6" t="n">
        <f aca="false">IF(AK2=1,IF(AL2&gt;1,(P2-AM2)^2*AL2/(AL2-1),0),0)</f>
        <v>0.00433291343330452</v>
      </c>
      <c r="AO2" s="6" t="n">
        <f aca="false">IF(ISNUMBER(R2),1,0)</f>
        <v>1</v>
      </c>
      <c r="AP2" s="6" t="n">
        <f aca="false">COUNTIFS(Runs!$B$2:$B$61,B2,Runs!$E$2:$E$61,E2,Runs!$N$2:$N$61,N2,Runs!$AO$2:$AO$61,1)</f>
        <v>2</v>
      </c>
      <c r="AQ2" s="6" t="n">
        <f aca="false">IF(AO2=1,AVERAGEIFS(Runs!$R$2:$R$61,Runs!$B$2:$B$61,B2,Runs!$E$2:$E$61,E2,Runs!$N$2:$N$61,N2,Runs!$AO$2:$AO$61,1),"")</f>
        <v>57</v>
      </c>
      <c r="AR2" s="6" t="n">
        <f aca="false">IF(AO2=1,IF(AP2&gt;1,(R2-AQ2)^2*AP2/(AP2-1),0),0)</f>
        <v>2450</v>
      </c>
      <c r="AS2" s="6" t="n">
        <f aca="false">IF(ISNUMBER(J2),1,0)</f>
        <v>1</v>
      </c>
      <c r="AT2" s="6" t="n">
        <f aca="false">COUNTIFS(Runs!$B$2:$B$61,B2,Runs!$E$2:$E$61,E2,Runs!$N$2:$N$61,N2,Runs!$AS$2:$AS$61,1)</f>
        <v>2</v>
      </c>
      <c r="AU2" s="6" t="n">
        <f aca="false">IF(AS2=1,AVERAGEIFS(Runs!$J$2:$J$61,Runs!$B$2:$B$61,B2,Runs!$E$2:$E$61,E2,Runs!$N$2:$N$61,N2,Runs!$AS$2:$AS$61,1),"")</f>
        <v>0</v>
      </c>
      <c r="AV2" s="6" t="n">
        <f aca="false">IF(AS2=1,IF(AT2&gt;1,(J2-AU2)^2*AT2/(AT2-1),0),0)</f>
        <v>0</v>
      </c>
      <c r="AW2" s="6" t="n">
        <f aca="false">IF(ISNUMBER(Q2),1,0)</f>
        <v>0</v>
      </c>
      <c r="AX2" s="6" t="n">
        <f aca="false">COUNTIFS(Runs!$B$2:$B$61,B2,Runs!$E$2:$E$61,E2,Runs!$N$2:$N$61,N2,Runs!$AW$2:$AW$61,1)</f>
        <v>0</v>
      </c>
      <c r="AY2" s="6" t="str">
        <f aca="false">IF(AW2=1,AVERAGEIFS(Runs!$Q$2:$Q$61,Runs!$B$2:$B$61,B2,Runs!$E$2:$E$61,E2,Runs!$N$2:$N$61,N2,Runs!$AW$2:$AW$61,1),"")</f>
        <v/>
      </c>
      <c r="AZ2" s="6" t="n">
        <f aca="false">IF(AW2=1,IF(AX2&gt;1,(Q2-AY2)^2*AX2/(AX2-1),0),0)</f>
        <v>0</v>
      </c>
    </row>
    <row r="3" customFormat="false" ht="15" hidden="false" customHeight="false" outlineLevel="0" collapsed="false">
      <c r="A3" s="9" t="s">
        <v>109</v>
      </c>
      <c r="B3" s="9" t="s">
        <v>104</v>
      </c>
      <c r="C3" s="9" t="s">
        <v>105</v>
      </c>
      <c r="D3" s="9" t="s">
        <v>106</v>
      </c>
      <c r="E3" s="9" t="s">
        <v>107</v>
      </c>
      <c r="F3" s="9" t="n">
        <v>2</v>
      </c>
      <c r="G3" s="9" t="s">
        <v>108</v>
      </c>
      <c r="H3" s="9" t="n">
        <v>45</v>
      </c>
      <c r="I3" s="9" t="n">
        <v>0</v>
      </c>
      <c r="J3" s="9" t="n">
        <v>0</v>
      </c>
      <c r="K3" s="9"/>
      <c r="L3" s="9" t="n">
        <v>0</v>
      </c>
      <c r="M3" s="9" t="n">
        <v>1</v>
      </c>
      <c r="N3" s="6" t="str">
        <f aca="false">C3&amp;"|"&amp;D3</f>
        <v>kanban-board|execution</v>
      </c>
      <c r="O3" s="6" t="n">
        <f aca="false">IF(G3="finished",0,1)</f>
        <v>0</v>
      </c>
      <c r="P3" s="6" t="n">
        <f aca="false">IF(O3=0,LN(H3),"")</f>
        <v>3.80666248977032</v>
      </c>
      <c r="Q3" s="6" t="str">
        <f aca="false">IF(ISNUMBER(K3),IF(K3&gt;0,LN(K3),""),"")</f>
        <v/>
      </c>
      <c r="R3" s="6" t="n">
        <f aca="false">IF(M3=1,INDEX(Quality!$AF:$AF,MATCH(A3,Quality!$A:$A,0)),"")</f>
        <v>92</v>
      </c>
      <c r="S3" s="6" t="n">
        <f aca="false">IF(R3="","",IF(T3=1,0,R3))</f>
        <v>92</v>
      </c>
      <c r="T3" s="6" t="n">
        <f aca="false">IF(M3=1,INDEX(Quality!$AG:$AG,MATCH(A3,Quality!$A:$A,0)),0)</f>
        <v>0</v>
      </c>
      <c r="U3" s="6" t="n">
        <f aca="false">IF(M3=1,INDEX(Quality!$AS:$AS,MATCH(A3,Quality!$A:$A,0)),"")</f>
        <v>0.5</v>
      </c>
      <c r="V3" s="9" t="n">
        <v>0</v>
      </c>
      <c r="W3" s="9" t="n">
        <v>3.80666</v>
      </c>
      <c r="X3" s="9"/>
      <c r="Y3" s="9" t="n">
        <v>92</v>
      </c>
      <c r="Z3" s="9" t="n">
        <v>0</v>
      </c>
      <c r="AA3" s="9" t="n">
        <v>0.5</v>
      </c>
      <c r="AB3" s="9" t="s">
        <v>108</v>
      </c>
      <c r="AC3" s="9" t="n">
        <v>45</v>
      </c>
      <c r="AD3" s="9" t="n">
        <v>0</v>
      </c>
      <c r="AE3" s="9"/>
      <c r="AF3" s="9" t="n">
        <v>0</v>
      </c>
      <c r="AG3" s="9" t="n">
        <v>0</v>
      </c>
      <c r="AH3" s="6" t="str">
        <f aca="false">IF(AND(G3=AB3,IF(AND(ISNUMBER(H3),ISNUMBER(AC3)),ABS(N(H3)-N(AC3))&lt;=Settings!$B$9*MAX(1,ABS(N(AC3))),AND(H3="",AC3="")),IF(AND(ISNUMBER(J3),ISNUMBER(AD3)),ABS(N(J3)-N(AD3))&lt;=Settings!$B$9*MAX(1,ABS(N(AD3))),AND(J3="",AD3="")),IF(AND(ISNUMBER(K3),ISNUMBER(AE3)),ABS(N(K3)-N(AE3))&lt;=Settings!$B$9*MAX(1,ABS(N(AE3))),AND(K3="",AE3="")),L3=AF3,I3=AG3),"ok","CHECK")</f>
        <v>ok</v>
      </c>
      <c r="AI3" s="6" t="str">
        <f aca="false">IF(AND(IF(AND(ISNUMBER(O3),ISNUMBER(V3)),ABS(N(O3)-N(V3))&lt;=Settings!$B$9*MAX(1,ABS(N(V3))),AND(O3="",V3="")),IF(AND(ISNUMBER(P3),ISNUMBER(W3)),ABS(N(P3)-N(W3))&lt;=Settings!$B$9*MAX(1,ABS(N(W3))),AND(P3="",W3="")),IF(AND(ISNUMBER(Q3),ISNUMBER(X3)),ABS(N(Q3)-N(X3))&lt;=Settings!$B$9*MAX(1,ABS(N(X3))),AND(Q3="",X3="")),IF(AND(ISNUMBER(R3),ISNUMBER(Y3)),ABS(N(R3)-N(Y3))&lt;=Settings!$B$9*MAX(1,ABS(N(Y3))),AND(R3="",Y3="")),T3=Z3,IF(AND(ISNUMBER(U3),ISNUMBER(AA3)),ABS(N(U3)-N(AA3))&lt;=Settings!$B$9*MAX(1,ABS(N(AA3))),AND(U3="",AA3=""))),"ok","CHECK")</f>
        <v>ok</v>
      </c>
      <c r="AJ3" s="2"/>
      <c r="AK3" s="6" t="n">
        <f aca="false">IF(ISNUMBER(P3),1,0)</f>
        <v>1</v>
      </c>
      <c r="AL3" s="6" t="n">
        <f aca="false">COUNTIFS(Runs!$B$2:$B$61,B3,Runs!$E$2:$E$61,E3,Runs!$N$2:$N$61,N3,Runs!$AK$2:$AK$61,1)</f>
        <v>2</v>
      </c>
      <c r="AM3" s="6" t="n">
        <f aca="false">IF(AK3=1,AVERAGEIFS(Runs!$P$2:$P$61,Runs!$B$2:$B$61,B3,Runs!$E$2:$E$61,E3,Runs!$N$2:$N$61,N3,Runs!$AK$2:$AK$61,1),"")</f>
        <v>3.76011727823731</v>
      </c>
      <c r="AN3" s="6" t="n">
        <f aca="false">IF(AK3=1,IF(AL3&gt;1,(P3-AM3)^2*AL3/(AL3-1),0),0)</f>
        <v>0.00433291343330452</v>
      </c>
      <c r="AO3" s="6" t="n">
        <f aca="false">IF(ISNUMBER(R3),1,0)</f>
        <v>1</v>
      </c>
      <c r="AP3" s="6" t="n">
        <f aca="false">COUNTIFS(Runs!$B$2:$B$61,B3,Runs!$E$2:$E$61,E3,Runs!$N$2:$N$61,N3,Runs!$AO$2:$AO$61,1)</f>
        <v>2</v>
      </c>
      <c r="AQ3" s="6" t="n">
        <f aca="false">IF(AO3=1,AVERAGEIFS(Runs!$R$2:$R$61,Runs!$B$2:$B$61,B3,Runs!$E$2:$E$61,E3,Runs!$N$2:$N$61,N3,Runs!$AO$2:$AO$61,1),"")</f>
        <v>57</v>
      </c>
      <c r="AR3" s="6" t="n">
        <f aca="false">IF(AO3=1,IF(AP3&gt;1,(R3-AQ3)^2*AP3/(AP3-1),0),0)</f>
        <v>2450</v>
      </c>
      <c r="AS3" s="6" t="n">
        <f aca="false">IF(ISNUMBER(J3),1,0)</f>
        <v>1</v>
      </c>
      <c r="AT3" s="6" t="n">
        <f aca="false">COUNTIFS(Runs!$B$2:$B$61,B3,Runs!$E$2:$E$61,E3,Runs!$N$2:$N$61,N3,Runs!$AS$2:$AS$61,1)</f>
        <v>2</v>
      </c>
      <c r="AU3" s="6" t="n">
        <f aca="false">IF(AS3=1,AVERAGEIFS(Runs!$J$2:$J$61,Runs!$B$2:$B$61,B3,Runs!$E$2:$E$61,E3,Runs!$N$2:$N$61,N3,Runs!$AS$2:$AS$61,1),"")</f>
        <v>0</v>
      </c>
      <c r="AV3" s="6" t="n">
        <f aca="false">IF(AS3=1,IF(AT3&gt;1,(J3-AU3)^2*AT3/(AT3-1),0),0)</f>
        <v>0</v>
      </c>
      <c r="AW3" s="6" t="n">
        <f aca="false">IF(ISNUMBER(Q3),1,0)</f>
        <v>0</v>
      </c>
      <c r="AX3" s="6" t="n">
        <f aca="false">COUNTIFS(Runs!$B$2:$B$61,B3,Runs!$E$2:$E$61,E3,Runs!$N$2:$N$61,N3,Runs!$AW$2:$AW$61,1)</f>
        <v>0</v>
      </c>
      <c r="AY3" s="6" t="str">
        <f aca="false">IF(AW3=1,AVERAGEIFS(Runs!$Q$2:$Q$61,Runs!$B$2:$B$61,B3,Runs!$E$2:$E$61,E3,Runs!$N$2:$N$61,N3,Runs!$AW$2:$AW$61,1),"")</f>
        <v/>
      </c>
      <c r="AZ3" s="6" t="n">
        <f aca="false">IF(AW3=1,IF(AX3&gt;1,(Q3-AY3)^2*AX3/(AX3-1),0),0)</f>
        <v>0</v>
      </c>
    </row>
    <row r="4" customFormat="false" ht="15" hidden="false" customHeight="false" outlineLevel="0" collapsed="false">
      <c r="A4" s="9" t="s">
        <v>110</v>
      </c>
      <c r="B4" s="9" t="s">
        <v>104</v>
      </c>
      <c r="C4" s="9" t="s">
        <v>105</v>
      </c>
      <c r="D4" s="9" t="s">
        <v>106</v>
      </c>
      <c r="E4" s="9" t="s">
        <v>111</v>
      </c>
      <c r="F4" s="9" t="n">
        <v>1</v>
      </c>
      <c r="G4" s="9" t="s">
        <v>108</v>
      </c>
      <c r="H4" s="9" t="n">
        <v>50</v>
      </c>
      <c r="I4" s="9" t="n">
        <v>0</v>
      </c>
      <c r="J4" s="9" t="n">
        <v>0.7</v>
      </c>
      <c r="K4" s="9" t="n">
        <v>440</v>
      </c>
      <c r="L4" s="9" t="n">
        <v>0</v>
      </c>
      <c r="M4" s="9" t="n">
        <v>1</v>
      </c>
      <c r="N4" s="6" t="str">
        <f aca="false">C4&amp;"|"&amp;D4</f>
        <v>kanban-board|execution</v>
      </c>
      <c r="O4" s="6" t="n">
        <f aca="false">IF(G4="finished",0,1)</f>
        <v>0</v>
      </c>
      <c r="P4" s="6" t="n">
        <f aca="false">IF(O4=0,LN(H4),"")</f>
        <v>3.91202300542815</v>
      </c>
      <c r="Q4" s="6" t="n">
        <f aca="false">IF(ISNUMBER(K4),IF(K4&gt;0,LN(K4),""),"")</f>
        <v>6.08677472691231</v>
      </c>
      <c r="R4" s="6" t="n">
        <f aca="false">IF(M4=1,INDEX(Quality!$AF:$AF,MATCH(A4,Quality!$A:$A,0)),"")</f>
        <v>14</v>
      </c>
      <c r="S4" s="6" t="n">
        <f aca="false">IF(R4="","",IF(T4=1,0,R4))</f>
        <v>14</v>
      </c>
      <c r="T4" s="6" t="n">
        <f aca="false">IF(M4=1,INDEX(Quality!$AG:$AG,MATCH(A4,Quality!$A:$A,0)),0)</f>
        <v>0</v>
      </c>
      <c r="U4" s="6" t="n">
        <f aca="false">IF(M4=1,INDEX(Quality!$AS:$AS,MATCH(A4,Quality!$A:$A,0)),"")</f>
        <v>0.6</v>
      </c>
      <c r="V4" s="9" t="n">
        <v>0</v>
      </c>
      <c r="W4" s="9" t="n">
        <v>3.91202</v>
      </c>
      <c r="X4" s="9" t="n">
        <v>6.08677</v>
      </c>
      <c r="Y4" s="9" t="n">
        <v>14</v>
      </c>
      <c r="Z4" s="9" t="n">
        <v>0</v>
      </c>
      <c r="AA4" s="9" t="n">
        <v>0.6</v>
      </c>
      <c r="AB4" s="9" t="s">
        <v>108</v>
      </c>
      <c r="AC4" s="9" t="n">
        <v>50</v>
      </c>
      <c r="AD4" s="9" t="n">
        <v>0.7</v>
      </c>
      <c r="AE4" s="9" t="n">
        <v>440</v>
      </c>
      <c r="AF4" s="9" t="n">
        <v>0</v>
      </c>
      <c r="AG4" s="9" t="n">
        <v>0</v>
      </c>
      <c r="AH4" s="6" t="str">
        <f aca="false">IF(AND(G4=AB4,IF(AND(ISNUMBER(H4),ISNUMBER(AC4)),ABS(N(H4)-N(AC4))&lt;=Settings!$B$9*MAX(1,ABS(N(AC4))),AND(H4="",AC4="")),IF(AND(ISNUMBER(J4),ISNUMBER(AD4)),ABS(N(J4)-N(AD4))&lt;=Settings!$B$9*MAX(1,ABS(N(AD4))),AND(J4="",AD4="")),IF(AND(ISNUMBER(K4),ISNUMBER(AE4)),ABS(N(K4)-N(AE4))&lt;=Settings!$B$9*MAX(1,ABS(N(AE4))),AND(K4="",AE4="")),L4=AF4,I4=AG4),"ok","CHECK")</f>
        <v>ok</v>
      </c>
      <c r="AI4" s="6" t="str">
        <f aca="false">IF(AND(IF(AND(ISNUMBER(O4),ISNUMBER(V4)),ABS(N(O4)-N(V4))&lt;=Settings!$B$9*MAX(1,ABS(N(V4))),AND(O4="",V4="")),IF(AND(ISNUMBER(P4),ISNUMBER(W4)),ABS(N(P4)-N(W4))&lt;=Settings!$B$9*MAX(1,ABS(N(W4))),AND(P4="",W4="")),IF(AND(ISNUMBER(Q4),ISNUMBER(X4)),ABS(N(Q4)-N(X4))&lt;=Settings!$B$9*MAX(1,ABS(N(X4))),AND(Q4="",X4="")),IF(AND(ISNUMBER(R4),ISNUMBER(Y4)),ABS(N(R4)-N(Y4))&lt;=Settings!$B$9*MAX(1,ABS(N(Y4))),AND(R4="",Y4="")),T4=Z4,IF(AND(ISNUMBER(U4),ISNUMBER(AA4)),ABS(N(U4)-N(AA4))&lt;=Settings!$B$9*MAX(1,ABS(N(AA4))),AND(U4="",AA4=""))),"ok","CHECK")</f>
        <v>ok</v>
      </c>
      <c r="AJ4" s="2"/>
      <c r="AK4" s="6" t="n">
        <f aca="false">IF(ISNUMBER(P4),1,0)</f>
        <v>1</v>
      </c>
      <c r="AL4" s="6" t="n">
        <f aca="false">COUNTIFS(Runs!$B$2:$B$61,B4,Runs!$E$2:$E$61,E4,Runs!$N$2:$N$61,N4,Runs!$AK$2:$AK$61,1)</f>
        <v>1</v>
      </c>
      <c r="AM4" s="6" t="n">
        <f aca="false">IF(AK4=1,AVERAGEIFS(Runs!$P$2:$P$61,Runs!$B$2:$B$61,B4,Runs!$E$2:$E$61,E4,Runs!$N$2:$N$61,N4,Runs!$AK$2:$AK$61,1),"")</f>
        <v>3.91202300542815</v>
      </c>
      <c r="AN4" s="6" t="n">
        <f aca="false">IF(AK4=1,IF(AL4&gt;1,(P4-AM4)^2*AL4/(AL4-1),0),0)</f>
        <v>0</v>
      </c>
      <c r="AO4" s="6" t="n">
        <f aca="false">IF(ISNUMBER(R4),1,0)</f>
        <v>1</v>
      </c>
      <c r="AP4" s="6" t="n">
        <f aca="false">COUNTIFS(Runs!$B$2:$B$61,B4,Runs!$E$2:$E$61,E4,Runs!$N$2:$N$61,N4,Runs!$AO$2:$AO$61,1)</f>
        <v>2</v>
      </c>
      <c r="AQ4" s="6" t="n">
        <f aca="false">IF(AO4=1,AVERAGEIFS(Runs!$R$2:$R$61,Runs!$B$2:$B$61,B4,Runs!$E$2:$E$61,E4,Runs!$N$2:$N$61,N4,Runs!$AO$2:$AO$61,1),"")</f>
        <v>8</v>
      </c>
      <c r="AR4" s="6" t="n">
        <f aca="false">IF(AO4=1,IF(AP4&gt;1,(R4-AQ4)^2*AP4/(AP4-1),0),0)</f>
        <v>72</v>
      </c>
      <c r="AS4" s="6" t="n">
        <f aca="false">IF(ISNUMBER(J4),1,0)</f>
        <v>1</v>
      </c>
      <c r="AT4" s="6" t="n">
        <f aca="false">COUNTIFS(Runs!$B$2:$B$61,B4,Runs!$E$2:$E$61,E4,Runs!$N$2:$N$61,N4,Runs!$AS$2:$AS$61,1)</f>
        <v>2</v>
      </c>
      <c r="AU4" s="6" t="n">
        <f aca="false">IF(AS4=1,AVERAGEIFS(Runs!$J$2:$J$61,Runs!$B$2:$B$61,B4,Runs!$E$2:$E$61,E4,Runs!$N$2:$N$61,N4,Runs!$AS$2:$AS$61,1),"")</f>
        <v>0.71875</v>
      </c>
      <c r="AV4" s="6" t="n">
        <f aca="false">IF(AS4=1,IF(AT4&gt;1,(J4-AU4)^2*AT4/(AT4-1),0),0)</f>
        <v>0.000703125000000003</v>
      </c>
      <c r="AW4" s="6" t="n">
        <f aca="false">IF(ISNUMBER(Q4),1,0)</f>
        <v>1</v>
      </c>
      <c r="AX4" s="6" t="n">
        <f aca="false">COUNTIFS(Runs!$B$2:$B$61,B4,Runs!$E$2:$E$61,E4,Runs!$N$2:$N$61,N4,Runs!$AW$2:$AW$61,1)</f>
        <v>2</v>
      </c>
      <c r="AY4" s="6" t="n">
        <f aca="false">IF(AW4=1,AVERAGEIFS(Runs!$Q$2:$Q$61,Runs!$B$2:$B$61,B4,Runs!$E$2:$E$61,E4,Runs!$N$2:$N$61,N4,Runs!$AW$2:$AW$61,1),"")</f>
        <v>6.00950995718016</v>
      </c>
      <c r="AZ4" s="6" t="n">
        <f aca="false">IF(AW4=1,IF(AX4&gt;1,(Q4-AY4)^2*AX4/(AX4-1),0),0)</f>
        <v>0.0119396892835236</v>
      </c>
    </row>
    <row r="5" customFormat="false" ht="15" hidden="false" customHeight="false" outlineLevel="0" collapsed="false">
      <c r="A5" s="9" t="s">
        <v>112</v>
      </c>
      <c r="B5" s="9" t="s">
        <v>104</v>
      </c>
      <c r="C5" s="9" t="s">
        <v>105</v>
      </c>
      <c r="D5" s="9" t="s">
        <v>106</v>
      </c>
      <c r="E5" s="9" t="s">
        <v>111</v>
      </c>
      <c r="F5" s="9" t="n">
        <v>2</v>
      </c>
      <c r="G5" s="9" t="s">
        <v>113</v>
      </c>
      <c r="H5" s="9" t="n">
        <v>80</v>
      </c>
      <c r="I5" s="9" t="n">
        <v>0</v>
      </c>
      <c r="J5" s="9" t="n">
        <v>0.7375</v>
      </c>
      <c r="K5" s="9" t="n">
        <v>377</v>
      </c>
      <c r="L5" s="9" t="n">
        <v>0</v>
      </c>
      <c r="M5" s="9" t="n">
        <v>1</v>
      </c>
      <c r="N5" s="6" t="str">
        <f aca="false">C5&amp;"|"&amp;D5</f>
        <v>kanban-board|execution</v>
      </c>
      <c r="O5" s="6" t="n">
        <f aca="false">IF(G5="finished",0,1)</f>
        <v>1</v>
      </c>
      <c r="P5" s="6" t="str">
        <f aca="false">IF(O5=0,LN(H5),"")</f>
        <v/>
      </c>
      <c r="Q5" s="6" t="n">
        <f aca="false">IF(ISNUMBER(K5),IF(K5&gt;0,LN(K5),""),"")</f>
        <v>5.93224518744801</v>
      </c>
      <c r="R5" s="6" t="n">
        <f aca="false">IF(M5=1,INDEX(Quality!$AF:$AF,MATCH(A5,Quality!$A:$A,0)),"")</f>
        <v>2</v>
      </c>
      <c r="S5" s="6" t="n">
        <f aca="false">IF(R5="","",IF(T5=1,0,R5))</f>
        <v>2</v>
      </c>
      <c r="T5" s="6" t="n">
        <f aca="false">IF(M5=1,INDEX(Quality!$AG:$AG,MATCH(A5,Quality!$A:$A,0)),0)</f>
        <v>0</v>
      </c>
      <c r="U5" s="6" t="n">
        <f aca="false">IF(M5=1,INDEX(Quality!$AS:$AS,MATCH(A5,Quality!$A:$A,0)),"")</f>
        <v>0.7</v>
      </c>
      <c r="V5" s="9" t="n">
        <v>1</v>
      </c>
      <c r="W5" s="9"/>
      <c r="X5" s="9" t="n">
        <v>5.93225</v>
      </c>
      <c r="Y5" s="9" t="n">
        <v>2</v>
      </c>
      <c r="Z5" s="9" t="n">
        <v>0</v>
      </c>
      <c r="AA5" s="9" t="n">
        <v>0.7</v>
      </c>
      <c r="AB5" s="9" t="s">
        <v>113</v>
      </c>
      <c r="AC5" s="9" t="n">
        <v>80</v>
      </c>
      <c r="AD5" s="9" t="n">
        <v>0.7375</v>
      </c>
      <c r="AE5" s="9" t="n">
        <v>377</v>
      </c>
      <c r="AF5" s="9" t="n">
        <v>0</v>
      </c>
      <c r="AG5" s="9" t="n">
        <v>0</v>
      </c>
      <c r="AH5" s="6" t="str">
        <f aca="false">IF(AND(G5=AB5,IF(AND(ISNUMBER(H5),ISNUMBER(AC5)),ABS(N(H5)-N(AC5))&lt;=Settings!$B$9*MAX(1,ABS(N(AC5))),AND(H5="",AC5="")),IF(AND(ISNUMBER(J5),ISNUMBER(AD5)),ABS(N(J5)-N(AD5))&lt;=Settings!$B$9*MAX(1,ABS(N(AD5))),AND(J5="",AD5="")),IF(AND(ISNUMBER(K5),ISNUMBER(AE5)),ABS(N(K5)-N(AE5))&lt;=Settings!$B$9*MAX(1,ABS(N(AE5))),AND(K5="",AE5="")),L5=AF5,I5=AG5),"ok","CHECK")</f>
        <v>ok</v>
      </c>
      <c r="AI5" s="6" t="str">
        <f aca="false">IF(AND(IF(AND(ISNUMBER(O5),ISNUMBER(V5)),ABS(N(O5)-N(V5))&lt;=Settings!$B$9*MAX(1,ABS(N(V5))),AND(O5="",V5="")),IF(AND(ISNUMBER(P5),ISNUMBER(W5)),ABS(N(P5)-N(W5))&lt;=Settings!$B$9*MAX(1,ABS(N(W5))),AND(P5="",W5="")),IF(AND(ISNUMBER(Q5),ISNUMBER(X5)),ABS(N(Q5)-N(X5))&lt;=Settings!$B$9*MAX(1,ABS(N(X5))),AND(Q5="",X5="")),IF(AND(ISNUMBER(R5),ISNUMBER(Y5)),ABS(N(R5)-N(Y5))&lt;=Settings!$B$9*MAX(1,ABS(N(Y5))),AND(R5="",Y5="")),T5=Z5,IF(AND(ISNUMBER(U5),ISNUMBER(AA5)),ABS(N(U5)-N(AA5))&lt;=Settings!$B$9*MAX(1,ABS(N(AA5))),AND(U5="",AA5=""))),"ok","CHECK")</f>
        <v>ok</v>
      </c>
      <c r="AJ5" s="2"/>
      <c r="AK5" s="6" t="n">
        <f aca="false">IF(ISNUMBER(P5),1,0)</f>
        <v>0</v>
      </c>
      <c r="AL5" s="6" t="n">
        <f aca="false">COUNTIFS(Runs!$B$2:$B$61,B5,Runs!$E$2:$E$61,E5,Runs!$N$2:$N$61,N5,Runs!$AK$2:$AK$61,1)</f>
        <v>1</v>
      </c>
      <c r="AM5" s="6" t="str">
        <f aca="false">IF(AK5=1,AVERAGEIFS(Runs!$P$2:$P$61,Runs!$B$2:$B$61,B5,Runs!$E$2:$E$61,E5,Runs!$N$2:$N$61,N5,Runs!$AK$2:$AK$61,1),"")</f>
        <v/>
      </c>
      <c r="AN5" s="6" t="n">
        <f aca="false">IF(AK5=1,IF(AL5&gt;1,(P5-AM5)^2*AL5/(AL5-1),0),0)</f>
        <v>0</v>
      </c>
      <c r="AO5" s="6" t="n">
        <f aca="false">IF(ISNUMBER(R5),1,0)</f>
        <v>1</v>
      </c>
      <c r="AP5" s="6" t="n">
        <f aca="false">COUNTIFS(Runs!$B$2:$B$61,B5,Runs!$E$2:$E$61,E5,Runs!$N$2:$N$61,N5,Runs!$AO$2:$AO$61,1)</f>
        <v>2</v>
      </c>
      <c r="AQ5" s="6" t="n">
        <f aca="false">IF(AO5=1,AVERAGEIFS(Runs!$R$2:$R$61,Runs!$B$2:$B$61,B5,Runs!$E$2:$E$61,E5,Runs!$N$2:$N$61,N5,Runs!$AO$2:$AO$61,1),"")</f>
        <v>8</v>
      </c>
      <c r="AR5" s="6" t="n">
        <f aca="false">IF(AO5=1,IF(AP5&gt;1,(R5-AQ5)^2*AP5/(AP5-1),0),0)</f>
        <v>72</v>
      </c>
      <c r="AS5" s="6" t="n">
        <f aca="false">IF(ISNUMBER(J5),1,0)</f>
        <v>1</v>
      </c>
      <c r="AT5" s="6" t="n">
        <f aca="false">COUNTIFS(Runs!$B$2:$B$61,B5,Runs!$E$2:$E$61,E5,Runs!$N$2:$N$61,N5,Runs!$AS$2:$AS$61,1)</f>
        <v>2</v>
      </c>
      <c r="AU5" s="6" t="n">
        <f aca="false">IF(AS5=1,AVERAGEIFS(Runs!$J$2:$J$61,Runs!$B$2:$B$61,B5,Runs!$E$2:$E$61,E5,Runs!$N$2:$N$61,N5,Runs!$AS$2:$AS$61,1),"")</f>
        <v>0.71875</v>
      </c>
      <c r="AV5" s="6" t="n">
        <f aca="false">IF(AS5=1,IF(AT5&gt;1,(J5-AU5)^2*AT5/(AT5-1),0),0)</f>
        <v>0.000703125000000003</v>
      </c>
      <c r="AW5" s="6" t="n">
        <f aca="false">IF(ISNUMBER(Q5),1,0)</f>
        <v>1</v>
      </c>
      <c r="AX5" s="6" t="n">
        <f aca="false">COUNTIFS(Runs!$B$2:$B$61,B5,Runs!$E$2:$E$61,E5,Runs!$N$2:$N$61,N5,Runs!$AW$2:$AW$61,1)</f>
        <v>2</v>
      </c>
      <c r="AY5" s="6" t="n">
        <f aca="false">IF(AW5=1,AVERAGEIFS(Runs!$Q$2:$Q$61,Runs!$B$2:$B$61,B5,Runs!$E$2:$E$61,E5,Runs!$N$2:$N$61,N5,Runs!$AW$2:$AW$61,1),"")</f>
        <v>6.00950995718016</v>
      </c>
      <c r="AZ5" s="6" t="n">
        <f aca="false">IF(AW5=1,IF(AX5&gt;1,(Q5-AY5)^2*AX5/(AX5-1),0),0)</f>
        <v>0.0119396892835236</v>
      </c>
    </row>
    <row r="6" customFormat="false" ht="15" hidden="false" customHeight="false" outlineLevel="0" collapsed="false">
      <c r="A6" s="9" t="s">
        <v>114</v>
      </c>
      <c r="B6" s="9" t="s">
        <v>104</v>
      </c>
      <c r="C6" s="9" t="s">
        <v>105</v>
      </c>
      <c r="D6" s="9" t="s">
        <v>106</v>
      </c>
      <c r="E6" s="9" t="s">
        <v>115</v>
      </c>
      <c r="F6" s="9" t="n">
        <v>1</v>
      </c>
      <c r="G6" s="9" t="s">
        <v>108</v>
      </c>
      <c r="H6" s="9" t="n">
        <v>42</v>
      </c>
      <c r="I6" s="9" t="n">
        <v>0</v>
      </c>
      <c r="J6" s="9" t="n">
        <v>0.97619</v>
      </c>
      <c r="K6" s="9" t="n">
        <v>131</v>
      </c>
      <c r="L6" s="9" t="n">
        <v>0</v>
      </c>
      <c r="M6" s="9" t="n">
        <v>1</v>
      </c>
      <c r="N6" s="6" t="str">
        <f aca="false">C6&amp;"|"&amp;D6</f>
        <v>kanban-board|execution</v>
      </c>
      <c r="O6" s="6" t="n">
        <f aca="false">IF(G6="finished",0,1)</f>
        <v>0</v>
      </c>
      <c r="P6" s="6" t="n">
        <f aca="false">IF(O6=0,LN(H6),"")</f>
        <v>3.73766961828337</v>
      </c>
      <c r="Q6" s="6" t="n">
        <f aca="false">IF(ISNUMBER(K6),IF(K6&gt;0,LN(K6),""),"")</f>
        <v>4.87519732320115</v>
      </c>
      <c r="R6" s="6" t="n">
        <f aca="false">IF(M6=1,INDEX(Quality!$AF:$AF,MATCH(A6,Quality!$A:$A,0)),"")</f>
        <v>80</v>
      </c>
      <c r="S6" s="6" t="n">
        <f aca="false">IF(R6="","",IF(T6=1,0,R6))</f>
        <v>80</v>
      </c>
      <c r="T6" s="6" t="n">
        <f aca="false">IF(M6=1,INDEX(Quality!$AG:$AG,MATCH(A6,Quality!$A:$A,0)),0)</f>
        <v>0</v>
      </c>
      <c r="U6" s="6" t="n">
        <f aca="false">IF(M6=1,INDEX(Quality!$AS:$AS,MATCH(A6,Quality!$A:$A,0)),"")</f>
        <v>0.7</v>
      </c>
      <c r="V6" s="9" t="n">
        <v>0</v>
      </c>
      <c r="W6" s="9" t="n">
        <v>3.73767</v>
      </c>
      <c r="X6" s="9" t="n">
        <v>4.8752</v>
      </c>
      <c r="Y6" s="9" t="n">
        <v>80</v>
      </c>
      <c r="Z6" s="9" t="n">
        <v>0</v>
      </c>
      <c r="AA6" s="9" t="n">
        <v>0.7</v>
      </c>
      <c r="AB6" s="9" t="s">
        <v>108</v>
      </c>
      <c r="AC6" s="9" t="n">
        <v>42</v>
      </c>
      <c r="AD6" s="9" t="n">
        <v>0.976190476190476</v>
      </c>
      <c r="AE6" s="9" t="n">
        <v>131</v>
      </c>
      <c r="AF6" s="9" t="n">
        <v>0</v>
      </c>
      <c r="AG6" s="9" t="n">
        <v>0</v>
      </c>
      <c r="AH6" s="6" t="str">
        <f aca="false">IF(AND(G6=AB6,IF(AND(ISNUMBER(H6),ISNUMBER(AC6)),ABS(N(H6)-N(AC6))&lt;=Settings!$B$9*MAX(1,ABS(N(AC6))),AND(H6="",AC6="")),IF(AND(ISNUMBER(J6),ISNUMBER(AD6)),ABS(N(J6)-N(AD6))&lt;=Settings!$B$9*MAX(1,ABS(N(AD6))),AND(J6="",AD6="")),IF(AND(ISNUMBER(K6),ISNUMBER(AE6)),ABS(N(K6)-N(AE6))&lt;=Settings!$B$9*MAX(1,ABS(N(AE6))),AND(K6="",AE6="")),L6=AF6,I6=AG6),"ok","CHECK")</f>
        <v>ok</v>
      </c>
      <c r="AI6" s="6" t="str">
        <f aca="false">IF(AND(IF(AND(ISNUMBER(O6),ISNUMBER(V6)),ABS(N(O6)-N(V6))&lt;=Settings!$B$9*MAX(1,ABS(N(V6))),AND(O6="",V6="")),IF(AND(ISNUMBER(P6),ISNUMBER(W6)),ABS(N(P6)-N(W6))&lt;=Settings!$B$9*MAX(1,ABS(N(W6))),AND(P6="",W6="")),IF(AND(ISNUMBER(Q6),ISNUMBER(X6)),ABS(N(Q6)-N(X6))&lt;=Settings!$B$9*MAX(1,ABS(N(X6))),AND(Q6="",X6="")),IF(AND(ISNUMBER(R6),ISNUMBER(Y6)),ABS(N(R6)-N(Y6))&lt;=Settings!$B$9*MAX(1,ABS(N(Y6))),AND(R6="",Y6="")),T6=Z6,IF(AND(ISNUMBER(U6),ISNUMBER(AA6)),ABS(N(U6)-N(AA6))&lt;=Settings!$B$9*MAX(1,ABS(N(AA6))),AND(U6="",AA6=""))),"ok","CHECK")</f>
        <v>ok</v>
      </c>
      <c r="AJ6" s="2"/>
      <c r="AK6" s="6" t="n">
        <f aca="false">IF(ISNUMBER(P6),1,0)</f>
        <v>1</v>
      </c>
      <c r="AL6" s="6" t="n">
        <f aca="false">COUNTIFS(Runs!$B$2:$B$61,B6,Runs!$E$2:$E$61,E6,Runs!$N$2:$N$61,N6,Runs!$AK$2:$AK$61,1)</f>
        <v>2</v>
      </c>
      <c r="AM6" s="6" t="n">
        <f aca="false">IF(AK6=1,AVERAGEIFS(Runs!$P$2:$P$61,Runs!$B$2:$B$61,B6,Runs!$E$2:$E$61,E6,Runs!$N$2:$N$61,N6,Runs!$AK$2:$AK$61,1),"")</f>
        <v>3.49788307815243</v>
      </c>
      <c r="AN6" s="6" t="n">
        <f aca="false">IF(AK6=1,IF(AL6&gt;1,(P6-AM6)^2*AL6/(AL6-1),0),0)</f>
        <v>0.114995169655937</v>
      </c>
      <c r="AO6" s="6" t="n">
        <f aca="false">IF(ISNUMBER(R6),1,0)</f>
        <v>1</v>
      </c>
      <c r="AP6" s="6" t="n">
        <f aca="false">COUNTIFS(Runs!$B$2:$B$61,B6,Runs!$E$2:$E$61,E6,Runs!$N$2:$N$61,N6,Runs!$AO$2:$AO$61,1)</f>
        <v>2</v>
      </c>
      <c r="AQ6" s="6" t="n">
        <f aca="false">IF(AO6=1,AVERAGEIFS(Runs!$R$2:$R$61,Runs!$B$2:$B$61,B6,Runs!$E$2:$E$61,E6,Runs!$N$2:$N$61,N6,Runs!$AO$2:$AO$61,1),"")</f>
        <v>83</v>
      </c>
      <c r="AR6" s="6" t="n">
        <f aca="false">IF(AO6=1,IF(AP6&gt;1,(R6-AQ6)^2*AP6/(AP6-1),0),0)</f>
        <v>18</v>
      </c>
      <c r="AS6" s="6" t="n">
        <f aca="false">IF(ISNUMBER(J6),1,0)</f>
        <v>1</v>
      </c>
      <c r="AT6" s="6" t="n">
        <f aca="false">COUNTIFS(Runs!$B$2:$B$61,B6,Runs!$E$2:$E$61,E6,Runs!$N$2:$N$61,N6,Runs!$AS$2:$AS$61,1)</f>
        <v>2</v>
      </c>
      <c r="AU6" s="6" t="n">
        <f aca="false">IF(AS6=1,AVERAGEIFS(Runs!$J$2:$J$61,Runs!$B$2:$B$61,B6,Runs!$E$2:$E$61,E6,Runs!$N$2:$N$61,N6,Runs!$AS$2:$AS$61,1),"")</f>
        <v>0.988095</v>
      </c>
      <c r="AV6" s="6" t="n">
        <f aca="false">IF(AS6=1,IF(AT6&gt;1,(J6-AU6)^2*AT6/(AT6-1),0),0)</f>
        <v>0.000283458049999997</v>
      </c>
      <c r="AW6" s="6" t="n">
        <f aca="false">IF(ISNUMBER(Q6),1,0)</f>
        <v>1</v>
      </c>
      <c r="AX6" s="6" t="n">
        <f aca="false">COUNTIFS(Runs!$B$2:$B$61,B6,Runs!$E$2:$E$61,E6,Runs!$N$2:$N$61,N6,Runs!$AW$2:$AW$61,1)</f>
        <v>2</v>
      </c>
      <c r="AY6" s="6" t="n">
        <f aca="false">IF(AW6=1,AVERAGEIFS(Runs!$Q$2:$Q$61,Runs!$B$2:$B$61,B6,Runs!$E$2:$E$61,E6,Runs!$N$2:$N$61,N6,Runs!$AW$2:$AW$61,1),"")</f>
        <v>4.97205076271069</v>
      </c>
      <c r="AZ6" s="6" t="n">
        <f aca="false">IF(AW6=1,IF(AX6&gt;1,(Q6-AY6)^2*AX6/(AX6-1),0),0)</f>
        <v>0.0187611774896563</v>
      </c>
    </row>
    <row r="7" customFormat="false" ht="15" hidden="false" customHeight="false" outlineLevel="0" collapsed="false">
      <c r="A7" s="9" t="s">
        <v>116</v>
      </c>
      <c r="B7" s="9" t="s">
        <v>104</v>
      </c>
      <c r="C7" s="9" t="s">
        <v>105</v>
      </c>
      <c r="D7" s="9" t="s">
        <v>106</v>
      </c>
      <c r="E7" s="9" t="s">
        <v>115</v>
      </c>
      <c r="F7" s="9" t="n">
        <v>2</v>
      </c>
      <c r="G7" s="9" t="s">
        <v>108</v>
      </c>
      <c r="H7" s="9" t="n">
        <v>26</v>
      </c>
      <c r="I7" s="9" t="n">
        <v>1</v>
      </c>
      <c r="J7" s="9" t="n">
        <v>1</v>
      </c>
      <c r="K7" s="9" t="n">
        <v>159</v>
      </c>
      <c r="L7" s="9" t="n">
        <v>0</v>
      </c>
      <c r="M7" s="9" t="n">
        <v>1</v>
      </c>
      <c r="N7" s="6" t="str">
        <f aca="false">C7&amp;"|"&amp;D7</f>
        <v>kanban-board|execution</v>
      </c>
      <c r="O7" s="6" t="n">
        <f aca="false">IF(G7="finished",0,1)</f>
        <v>0</v>
      </c>
      <c r="P7" s="6" t="n">
        <f aca="false">IF(O7=0,LN(H7),"")</f>
        <v>3.25809653802148</v>
      </c>
      <c r="Q7" s="6" t="n">
        <f aca="false">IF(ISNUMBER(K7),IF(K7&gt;0,LN(K7),""),"")</f>
        <v>5.06890420222023</v>
      </c>
      <c r="R7" s="6" t="n">
        <f aca="false">IF(M7=1,INDEX(Quality!$AF:$AF,MATCH(A7,Quality!$A:$A,0)),"")</f>
        <v>86</v>
      </c>
      <c r="S7" s="6" t="n">
        <f aca="false">IF(R7="","",IF(T7=1,0,R7))</f>
        <v>86</v>
      </c>
      <c r="T7" s="6" t="n">
        <f aca="false">IF(M7=1,INDEX(Quality!$AG:$AG,MATCH(A7,Quality!$A:$A,0)),0)</f>
        <v>0</v>
      </c>
      <c r="U7" s="6" t="n">
        <f aca="false">IF(M7=1,INDEX(Quality!$AS:$AS,MATCH(A7,Quality!$A:$A,0)),"")</f>
        <v>0.7</v>
      </c>
      <c r="V7" s="9" t="n">
        <v>0</v>
      </c>
      <c r="W7" s="9" t="n">
        <v>3.2581</v>
      </c>
      <c r="X7" s="9" t="n">
        <v>5.0689</v>
      </c>
      <c r="Y7" s="9" t="n">
        <v>86</v>
      </c>
      <c r="Z7" s="9" t="n">
        <v>0</v>
      </c>
      <c r="AA7" s="9" t="n">
        <v>0.7</v>
      </c>
      <c r="AB7" s="9" t="s">
        <v>108</v>
      </c>
      <c r="AC7" s="9" t="n">
        <v>26</v>
      </c>
      <c r="AD7" s="9" t="n">
        <v>1</v>
      </c>
      <c r="AE7" s="9" t="n">
        <v>159</v>
      </c>
      <c r="AF7" s="9" t="n">
        <v>0</v>
      </c>
      <c r="AG7" s="9" t="n">
        <v>1</v>
      </c>
      <c r="AH7" s="6" t="str">
        <f aca="false">IF(AND(G7=AB7,IF(AND(ISNUMBER(H7),ISNUMBER(AC7)),ABS(N(H7)-N(AC7))&lt;=Settings!$B$9*MAX(1,ABS(N(AC7))),AND(H7="",AC7="")),IF(AND(ISNUMBER(J7),ISNUMBER(AD7)),ABS(N(J7)-N(AD7))&lt;=Settings!$B$9*MAX(1,ABS(N(AD7))),AND(J7="",AD7="")),IF(AND(ISNUMBER(K7),ISNUMBER(AE7)),ABS(N(K7)-N(AE7))&lt;=Settings!$B$9*MAX(1,ABS(N(AE7))),AND(K7="",AE7="")),L7=AF7,I7=AG7),"ok","CHECK")</f>
        <v>ok</v>
      </c>
      <c r="AI7" s="6" t="str">
        <f aca="false">IF(AND(IF(AND(ISNUMBER(O7),ISNUMBER(V7)),ABS(N(O7)-N(V7))&lt;=Settings!$B$9*MAX(1,ABS(N(V7))),AND(O7="",V7="")),IF(AND(ISNUMBER(P7),ISNUMBER(W7)),ABS(N(P7)-N(W7))&lt;=Settings!$B$9*MAX(1,ABS(N(W7))),AND(P7="",W7="")),IF(AND(ISNUMBER(Q7),ISNUMBER(X7)),ABS(N(Q7)-N(X7))&lt;=Settings!$B$9*MAX(1,ABS(N(X7))),AND(Q7="",X7="")),IF(AND(ISNUMBER(R7),ISNUMBER(Y7)),ABS(N(R7)-N(Y7))&lt;=Settings!$B$9*MAX(1,ABS(N(Y7))),AND(R7="",Y7="")),T7=Z7,IF(AND(ISNUMBER(U7),ISNUMBER(AA7)),ABS(N(U7)-N(AA7))&lt;=Settings!$B$9*MAX(1,ABS(N(AA7))),AND(U7="",AA7=""))),"ok","CHECK")</f>
        <v>ok</v>
      </c>
      <c r="AJ7" s="2"/>
      <c r="AK7" s="6" t="n">
        <f aca="false">IF(ISNUMBER(P7),1,0)</f>
        <v>1</v>
      </c>
      <c r="AL7" s="6" t="n">
        <f aca="false">COUNTIFS(Runs!$B$2:$B$61,B7,Runs!$E$2:$E$61,E7,Runs!$N$2:$N$61,N7,Runs!$AK$2:$AK$61,1)</f>
        <v>2</v>
      </c>
      <c r="AM7" s="6" t="n">
        <f aca="false">IF(AK7=1,AVERAGEIFS(Runs!$P$2:$P$61,Runs!$B$2:$B$61,B7,Runs!$E$2:$E$61,E7,Runs!$N$2:$N$61,N7,Runs!$AK$2:$AK$61,1),"")</f>
        <v>3.49788307815243</v>
      </c>
      <c r="AN7" s="6" t="n">
        <f aca="false">IF(AK7=1,IF(AL7&gt;1,(P7-AM7)^2*AL7/(AL7-1),0),0)</f>
        <v>0.114995169655937</v>
      </c>
      <c r="AO7" s="6" t="n">
        <f aca="false">IF(ISNUMBER(R7),1,0)</f>
        <v>1</v>
      </c>
      <c r="AP7" s="6" t="n">
        <f aca="false">COUNTIFS(Runs!$B$2:$B$61,B7,Runs!$E$2:$E$61,E7,Runs!$N$2:$N$61,N7,Runs!$AO$2:$AO$61,1)</f>
        <v>2</v>
      </c>
      <c r="AQ7" s="6" t="n">
        <f aca="false">IF(AO7=1,AVERAGEIFS(Runs!$R$2:$R$61,Runs!$B$2:$B$61,B7,Runs!$E$2:$E$61,E7,Runs!$N$2:$N$61,N7,Runs!$AO$2:$AO$61,1),"")</f>
        <v>83</v>
      </c>
      <c r="AR7" s="6" t="n">
        <f aca="false">IF(AO7=1,IF(AP7&gt;1,(R7-AQ7)^2*AP7/(AP7-1),0),0)</f>
        <v>18</v>
      </c>
      <c r="AS7" s="6" t="n">
        <f aca="false">IF(ISNUMBER(J7),1,0)</f>
        <v>1</v>
      </c>
      <c r="AT7" s="6" t="n">
        <f aca="false">COUNTIFS(Runs!$B$2:$B$61,B7,Runs!$E$2:$E$61,E7,Runs!$N$2:$N$61,N7,Runs!$AS$2:$AS$61,1)</f>
        <v>2</v>
      </c>
      <c r="AU7" s="6" t="n">
        <f aca="false">IF(AS7=1,AVERAGEIFS(Runs!$J$2:$J$61,Runs!$B$2:$B$61,B7,Runs!$E$2:$E$61,E7,Runs!$N$2:$N$61,N7,Runs!$AS$2:$AS$61,1),"")</f>
        <v>0.988095</v>
      </c>
      <c r="AV7" s="6" t="n">
        <f aca="false">IF(AS7=1,IF(AT7&gt;1,(J7-AU7)^2*AT7/(AT7-1),0),0)</f>
        <v>0.000283458050000003</v>
      </c>
      <c r="AW7" s="6" t="n">
        <f aca="false">IF(ISNUMBER(Q7),1,0)</f>
        <v>1</v>
      </c>
      <c r="AX7" s="6" t="n">
        <f aca="false">COUNTIFS(Runs!$B$2:$B$61,B7,Runs!$E$2:$E$61,E7,Runs!$N$2:$N$61,N7,Runs!$AW$2:$AW$61,1)</f>
        <v>2</v>
      </c>
      <c r="AY7" s="6" t="n">
        <f aca="false">IF(AW7=1,AVERAGEIFS(Runs!$Q$2:$Q$61,Runs!$B$2:$B$61,B7,Runs!$E$2:$E$61,E7,Runs!$N$2:$N$61,N7,Runs!$AW$2:$AW$61,1),"")</f>
        <v>4.97205076271069</v>
      </c>
      <c r="AZ7" s="6" t="n">
        <f aca="false">IF(AW7=1,IF(AX7&gt;1,(Q7-AY7)^2*AX7/(AX7-1),0),0)</f>
        <v>0.0187611774896563</v>
      </c>
    </row>
    <row r="8" customFormat="false" ht="15" hidden="false" customHeight="false" outlineLevel="0" collapsed="false">
      <c r="A8" s="9" t="s">
        <v>117</v>
      </c>
      <c r="B8" s="9" t="s">
        <v>104</v>
      </c>
      <c r="C8" s="9" t="s">
        <v>105</v>
      </c>
      <c r="D8" s="9" t="s">
        <v>118</v>
      </c>
      <c r="E8" s="9" t="s">
        <v>107</v>
      </c>
      <c r="F8" s="9" t="n">
        <v>1</v>
      </c>
      <c r="G8" s="9" t="s">
        <v>108</v>
      </c>
      <c r="H8" s="9" t="n">
        <v>23</v>
      </c>
      <c r="I8" s="9" t="n">
        <v>1</v>
      </c>
      <c r="J8" s="9" t="n">
        <v>0</v>
      </c>
      <c r="K8" s="9"/>
      <c r="L8" s="9" t="n">
        <v>0</v>
      </c>
      <c r="M8" s="9" t="n">
        <v>1</v>
      </c>
      <c r="N8" s="6" t="str">
        <f aca="false">C8&amp;"|"&amp;D8</f>
        <v>kanban-board|interactive</v>
      </c>
      <c r="O8" s="6" t="n">
        <f aca="false">IF(G8="finished",0,1)</f>
        <v>0</v>
      </c>
      <c r="P8" s="6" t="n">
        <f aca="false">IF(O8=0,LN(H8),"")</f>
        <v>3.13549421592915</v>
      </c>
      <c r="Q8" s="6" t="str">
        <f aca="false">IF(ISNUMBER(K8),IF(K8&gt;0,LN(K8),""),"")</f>
        <v/>
      </c>
      <c r="R8" s="6" t="n">
        <f aca="false">IF(M8=1,INDEX(Quality!$AF:$AF,MATCH(A8,Quality!$A:$A,0)),"")</f>
        <v>94</v>
      </c>
      <c r="S8" s="6" t="n">
        <f aca="false">IF(R8="","",IF(T8=1,0,R8))</f>
        <v>94</v>
      </c>
      <c r="T8" s="6" t="n">
        <f aca="false">IF(M8=1,INDEX(Quality!$AG:$AG,MATCH(A8,Quality!$A:$A,0)),0)</f>
        <v>0</v>
      </c>
      <c r="U8" s="6" t="n">
        <f aca="false">IF(M8=1,INDEX(Quality!$AS:$AS,MATCH(A8,Quality!$A:$A,0)),"")</f>
        <v>0.6</v>
      </c>
      <c r="V8" s="9" t="n">
        <v>0</v>
      </c>
      <c r="W8" s="9" t="n">
        <v>3.13549</v>
      </c>
      <c r="X8" s="9"/>
      <c r="Y8" s="9" t="n">
        <v>94</v>
      </c>
      <c r="Z8" s="9" t="n">
        <v>0</v>
      </c>
      <c r="AA8" s="9" t="n">
        <v>0.6</v>
      </c>
      <c r="AB8" s="9" t="s">
        <v>108</v>
      </c>
      <c r="AC8" s="9" t="n">
        <v>23</v>
      </c>
      <c r="AD8" s="9" t="n">
        <v>0</v>
      </c>
      <c r="AE8" s="9"/>
      <c r="AF8" s="9" t="n">
        <v>0</v>
      </c>
      <c r="AG8" s="9" t="n">
        <v>1</v>
      </c>
      <c r="AH8" s="6" t="str">
        <f aca="false">IF(AND(G8=AB8,IF(AND(ISNUMBER(H8),ISNUMBER(AC8)),ABS(N(H8)-N(AC8))&lt;=Settings!$B$9*MAX(1,ABS(N(AC8))),AND(H8="",AC8="")),IF(AND(ISNUMBER(J8),ISNUMBER(AD8)),ABS(N(J8)-N(AD8))&lt;=Settings!$B$9*MAX(1,ABS(N(AD8))),AND(J8="",AD8="")),IF(AND(ISNUMBER(K8),ISNUMBER(AE8)),ABS(N(K8)-N(AE8))&lt;=Settings!$B$9*MAX(1,ABS(N(AE8))),AND(K8="",AE8="")),L8=AF8,I8=AG8),"ok","CHECK")</f>
        <v>ok</v>
      </c>
      <c r="AI8" s="6" t="str">
        <f aca="false">IF(AND(IF(AND(ISNUMBER(O8),ISNUMBER(V8)),ABS(N(O8)-N(V8))&lt;=Settings!$B$9*MAX(1,ABS(N(V8))),AND(O8="",V8="")),IF(AND(ISNUMBER(P8),ISNUMBER(W8)),ABS(N(P8)-N(W8))&lt;=Settings!$B$9*MAX(1,ABS(N(W8))),AND(P8="",W8="")),IF(AND(ISNUMBER(Q8),ISNUMBER(X8)),ABS(N(Q8)-N(X8))&lt;=Settings!$B$9*MAX(1,ABS(N(X8))),AND(Q8="",X8="")),IF(AND(ISNUMBER(R8),ISNUMBER(Y8)),ABS(N(R8)-N(Y8))&lt;=Settings!$B$9*MAX(1,ABS(N(Y8))),AND(R8="",Y8="")),T8=Z8,IF(AND(ISNUMBER(U8),ISNUMBER(AA8)),ABS(N(U8)-N(AA8))&lt;=Settings!$B$9*MAX(1,ABS(N(AA8))),AND(U8="",AA8=""))),"ok","CHECK")</f>
        <v>ok</v>
      </c>
      <c r="AJ8" s="2"/>
      <c r="AK8" s="6" t="n">
        <f aca="false">IF(ISNUMBER(P8),1,0)</f>
        <v>1</v>
      </c>
      <c r="AL8" s="6" t="n">
        <f aca="false">COUNTIFS(Runs!$B$2:$B$61,B8,Runs!$E$2:$E$61,E8,Runs!$N$2:$N$61,N8,Runs!$AK$2:$AK$61,1)</f>
        <v>2</v>
      </c>
      <c r="AM8" s="6" t="n">
        <f aca="false">IF(AK8=1,AVERAGEIFS(Runs!$P$2:$P$61,Runs!$B$2:$B$61,B8,Runs!$E$2:$E$61,E8,Runs!$N$2:$N$61,N8,Runs!$AK$2:$AK$61,1),"")</f>
        <v>3.80641551520368</v>
      </c>
      <c r="AN8" s="6" t="n">
        <f aca="false">IF(AK8=1,IF(AL8&gt;1,(P8-AM8)^2*AL8/(AL8-1),0),0)</f>
        <v>0.900270779640443</v>
      </c>
      <c r="AO8" s="6" t="n">
        <f aca="false">IF(ISNUMBER(R8),1,0)</f>
        <v>1</v>
      </c>
      <c r="AP8" s="6" t="n">
        <f aca="false">COUNTIFS(Runs!$B$2:$B$61,B8,Runs!$E$2:$E$61,E8,Runs!$N$2:$N$61,N8,Runs!$AO$2:$AO$61,1)</f>
        <v>2</v>
      </c>
      <c r="AQ8" s="6" t="n">
        <f aca="false">IF(AO8=1,AVERAGEIFS(Runs!$R$2:$R$61,Runs!$B$2:$B$61,B8,Runs!$E$2:$E$61,E8,Runs!$N$2:$N$61,N8,Runs!$AO$2:$AO$61,1),"")</f>
        <v>92</v>
      </c>
      <c r="AR8" s="6" t="n">
        <f aca="false">IF(AO8=1,IF(AP8&gt;1,(R8-AQ8)^2*AP8/(AP8-1),0),0)</f>
        <v>8</v>
      </c>
      <c r="AS8" s="6" t="n">
        <f aca="false">IF(ISNUMBER(J8),1,0)</f>
        <v>1</v>
      </c>
      <c r="AT8" s="6" t="n">
        <f aca="false">COUNTIFS(Runs!$B$2:$B$61,B8,Runs!$E$2:$E$61,E8,Runs!$N$2:$N$61,N8,Runs!$AS$2:$AS$61,1)</f>
        <v>2</v>
      </c>
      <c r="AU8" s="6" t="n">
        <f aca="false">IF(AS8=1,AVERAGEIFS(Runs!$J$2:$J$61,Runs!$B$2:$B$61,B8,Runs!$E$2:$E$61,E8,Runs!$N$2:$N$61,N8,Runs!$AS$2:$AS$61,1),"")</f>
        <v>0</v>
      </c>
      <c r="AV8" s="6" t="n">
        <f aca="false">IF(AS8=1,IF(AT8&gt;1,(J8-AU8)^2*AT8/(AT8-1),0),0)</f>
        <v>0</v>
      </c>
      <c r="AW8" s="6" t="n">
        <f aca="false">IF(ISNUMBER(Q8),1,0)</f>
        <v>0</v>
      </c>
      <c r="AX8" s="6" t="n">
        <f aca="false">COUNTIFS(Runs!$B$2:$B$61,B8,Runs!$E$2:$E$61,E8,Runs!$N$2:$N$61,N8,Runs!$AW$2:$AW$61,1)</f>
        <v>0</v>
      </c>
      <c r="AY8" s="6" t="str">
        <f aca="false">IF(AW8=1,AVERAGEIFS(Runs!$Q$2:$Q$61,Runs!$B$2:$B$61,B8,Runs!$E$2:$E$61,E8,Runs!$N$2:$N$61,N8,Runs!$AW$2:$AW$61,1),"")</f>
        <v/>
      </c>
      <c r="AZ8" s="6" t="n">
        <f aca="false">IF(AW8=1,IF(AX8&gt;1,(Q8-AY8)^2*AX8/(AX8-1),0),0)</f>
        <v>0</v>
      </c>
    </row>
    <row r="9" customFormat="false" ht="15" hidden="false" customHeight="false" outlineLevel="0" collapsed="false">
      <c r="A9" s="9" t="s">
        <v>119</v>
      </c>
      <c r="B9" s="9" t="s">
        <v>104</v>
      </c>
      <c r="C9" s="9" t="s">
        <v>105</v>
      </c>
      <c r="D9" s="9" t="s">
        <v>118</v>
      </c>
      <c r="E9" s="9" t="s">
        <v>107</v>
      </c>
      <c r="F9" s="9" t="n">
        <v>2</v>
      </c>
      <c r="G9" s="9" t="s">
        <v>108</v>
      </c>
      <c r="H9" s="9" t="n">
        <v>88</v>
      </c>
      <c r="I9" s="9" t="n">
        <v>0</v>
      </c>
      <c r="J9" s="9" t="n">
        <v>0</v>
      </c>
      <c r="K9" s="9"/>
      <c r="L9" s="9" t="n">
        <v>0</v>
      </c>
      <c r="M9" s="9" t="n">
        <v>1</v>
      </c>
      <c r="N9" s="6" t="str">
        <f aca="false">C9&amp;"|"&amp;D9</f>
        <v>kanban-board|interactive</v>
      </c>
      <c r="O9" s="6" t="n">
        <f aca="false">IF(G9="finished",0,1)</f>
        <v>0</v>
      </c>
      <c r="P9" s="6" t="n">
        <f aca="false">IF(O9=0,LN(H9),"")</f>
        <v>4.47733681447821</v>
      </c>
      <c r="Q9" s="6" t="str">
        <f aca="false">IF(ISNUMBER(K9),IF(K9&gt;0,LN(K9),""),"")</f>
        <v/>
      </c>
      <c r="R9" s="6" t="n">
        <f aca="false">IF(M9=1,INDEX(Quality!$AF:$AF,MATCH(A9,Quality!$A:$A,0)),"")</f>
        <v>90</v>
      </c>
      <c r="S9" s="6" t="n">
        <f aca="false">IF(R9="","",IF(T9=1,0,R9))</f>
        <v>90</v>
      </c>
      <c r="T9" s="6" t="n">
        <f aca="false">IF(M9=1,INDEX(Quality!$AG:$AG,MATCH(A9,Quality!$A:$A,0)),0)</f>
        <v>0</v>
      </c>
      <c r="U9" s="6" t="n">
        <f aca="false">IF(M9=1,INDEX(Quality!$AS:$AS,MATCH(A9,Quality!$A:$A,0)),"")</f>
        <v>1</v>
      </c>
      <c r="V9" s="9" t="n">
        <v>0</v>
      </c>
      <c r="W9" s="9" t="n">
        <v>4.47734</v>
      </c>
      <c r="X9" s="9"/>
      <c r="Y9" s="9" t="n">
        <v>90</v>
      </c>
      <c r="Z9" s="9" t="n">
        <v>0</v>
      </c>
      <c r="AA9" s="9" t="n">
        <v>1</v>
      </c>
      <c r="AB9" s="9" t="s">
        <v>108</v>
      </c>
      <c r="AC9" s="9" t="n">
        <v>88</v>
      </c>
      <c r="AD9" s="9" t="n">
        <v>0</v>
      </c>
      <c r="AE9" s="9"/>
      <c r="AF9" s="9" t="n">
        <v>0</v>
      </c>
      <c r="AG9" s="9" t="n">
        <v>0</v>
      </c>
      <c r="AH9" s="6" t="str">
        <f aca="false">IF(AND(G9=AB9,IF(AND(ISNUMBER(H9),ISNUMBER(AC9)),ABS(N(H9)-N(AC9))&lt;=Settings!$B$9*MAX(1,ABS(N(AC9))),AND(H9="",AC9="")),IF(AND(ISNUMBER(J9),ISNUMBER(AD9)),ABS(N(J9)-N(AD9))&lt;=Settings!$B$9*MAX(1,ABS(N(AD9))),AND(J9="",AD9="")),IF(AND(ISNUMBER(K9),ISNUMBER(AE9)),ABS(N(K9)-N(AE9))&lt;=Settings!$B$9*MAX(1,ABS(N(AE9))),AND(K9="",AE9="")),L9=AF9,I9=AG9),"ok","CHECK")</f>
        <v>ok</v>
      </c>
      <c r="AI9" s="6" t="str">
        <f aca="false">IF(AND(IF(AND(ISNUMBER(O9),ISNUMBER(V9)),ABS(N(O9)-N(V9))&lt;=Settings!$B$9*MAX(1,ABS(N(V9))),AND(O9="",V9="")),IF(AND(ISNUMBER(P9),ISNUMBER(W9)),ABS(N(P9)-N(W9))&lt;=Settings!$B$9*MAX(1,ABS(N(W9))),AND(P9="",W9="")),IF(AND(ISNUMBER(Q9),ISNUMBER(X9)),ABS(N(Q9)-N(X9))&lt;=Settings!$B$9*MAX(1,ABS(N(X9))),AND(Q9="",X9="")),IF(AND(ISNUMBER(R9),ISNUMBER(Y9)),ABS(N(R9)-N(Y9))&lt;=Settings!$B$9*MAX(1,ABS(N(Y9))),AND(R9="",Y9="")),T9=Z9,IF(AND(ISNUMBER(U9),ISNUMBER(AA9)),ABS(N(U9)-N(AA9))&lt;=Settings!$B$9*MAX(1,ABS(N(AA9))),AND(U9="",AA9=""))),"ok","CHECK")</f>
        <v>ok</v>
      </c>
      <c r="AJ9" s="2"/>
      <c r="AK9" s="6" t="n">
        <f aca="false">IF(ISNUMBER(P9),1,0)</f>
        <v>1</v>
      </c>
      <c r="AL9" s="6" t="n">
        <f aca="false">COUNTIFS(Runs!$B$2:$B$61,B9,Runs!$E$2:$E$61,E9,Runs!$N$2:$N$61,N9,Runs!$AK$2:$AK$61,1)</f>
        <v>2</v>
      </c>
      <c r="AM9" s="6" t="n">
        <f aca="false">IF(AK9=1,AVERAGEIFS(Runs!$P$2:$P$61,Runs!$B$2:$B$61,B9,Runs!$E$2:$E$61,E9,Runs!$N$2:$N$61,N9,Runs!$AK$2:$AK$61,1),"")</f>
        <v>3.80641551520368</v>
      </c>
      <c r="AN9" s="6" t="n">
        <f aca="false">IF(AK9=1,IF(AL9&gt;1,(P9-AM9)^2*AL9/(AL9-1),0),0)</f>
        <v>0.900270779640443</v>
      </c>
      <c r="AO9" s="6" t="n">
        <f aca="false">IF(ISNUMBER(R9),1,0)</f>
        <v>1</v>
      </c>
      <c r="AP9" s="6" t="n">
        <f aca="false">COUNTIFS(Runs!$B$2:$B$61,B9,Runs!$E$2:$E$61,E9,Runs!$N$2:$N$61,N9,Runs!$AO$2:$AO$61,1)</f>
        <v>2</v>
      </c>
      <c r="AQ9" s="6" t="n">
        <f aca="false">IF(AO9=1,AVERAGEIFS(Runs!$R$2:$R$61,Runs!$B$2:$B$61,B9,Runs!$E$2:$E$61,E9,Runs!$N$2:$N$61,N9,Runs!$AO$2:$AO$61,1),"")</f>
        <v>92</v>
      </c>
      <c r="AR9" s="6" t="n">
        <f aca="false">IF(AO9=1,IF(AP9&gt;1,(R9-AQ9)^2*AP9/(AP9-1),0),0)</f>
        <v>8</v>
      </c>
      <c r="AS9" s="6" t="n">
        <f aca="false">IF(ISNUMBER(J9),1,0)</f>
        <v>1</v>
      </c>
      <c r="AT9" s="6" t="n">
        <f aca="false">COUNTIFS(Runs!$B$2:$B$61,B9,Runs!$E$2:$E$61,E9,Runs!$N$2:$N$61,N9,Runs!$AS$2:$AS$61,1)</f>
        <v>2</v>
      </c>
      <c r="AU9" s="6" t="n">
        <f aca="false">IF(AS9=1,AVERAGEIFS(Runs!$J$2:$J$61,Runs!$B$2:$B$61,B9,Runs!$E$2:$E$61,E9,Runs!$N$2:$N$61,N9,Runs!$AS$2:$AS$61,1),"")</f>
        <v>0</v>
      </c>
      <c r="AV9" s="6" t="n">
        <f aca="false">IF(AS9=1,IF(AT9&gt;1,(J9-AU9)^2*AT9/(AT9-1),0),0)</f>
        <v>0</v>
      </c>
      <c r="AW9" s="6" t="n">
        <f aca="false">IF(ISNUMBER(Q9),1,0)</f>
        <v>0</v>
      </c>
      <c r="AX9" s="6" t="n">
        <f aca="false">COUNTIFS(Runs!$B$2:$B$61,B9,Runs!$E$2:$E$61,E9,Runs!$N$2:$N$61,N9,Runs!$AW$2:$AW$61,1)</f>
        <v>0</v>
      </c>
      <c r="AY9" s="6" t="str">
        <f aca="false">IF(AW9=1,AVERAGEIFS(Runs!$Q$2:$Q$61,Runs!$B$2:$B$61,B9,Runs!$E$2:$E$61,E9,Runs!$N$2:$N$61,N9,Runs!$AW$2:$AW$61,1),"")</f>
        <v/>
      </c>
      <c r="AZ9" s="6" t="n">
        <f aca="false">IF(AW9=1,IF(AX9&gt;1,(Q9-AY9)^2*AX9/(AX9-1),0),0)</f>
        <v>0</v>
      </c>
    </row>
    <row r="10" customFormat="false" ht="15" hidden="false" customHeight="false" outlineLevel="0" collapsed="false">
      <c r="A10" s="9" t="s">
        <v>120</v>
      </c>
      <c r="B10" s="9" t="s">
        <v>104</v>
      </c>
      <c r="C10" s="9" t="s">
        <v>105</v>
      </c>
      <c r="D10" s="9" t="s">
        <v>118</v>
      </c>
      <c r="E10" s="9" t="s">
        <v>111</v>
      </c>
      <c r="F10" s="9" t="n">
        <v>1</v>
      </c>
      <c r="G10" s="9" t="s">
        <v>121</v>
      </c>
      <c r="H10" s="9" t="n">
        <v>72</v>
      </c>
      <c r="I10" s="9" t="n">
        <v>0</v>
      </c>
      <c r="J10" s="9" t="n">
        <v>0.75</v>
      </c>
      <c r="K10" s="9" t="n">
        <v>405.5</v>
      </c>
      <c r="L10" s="9" t="n">
        <v>0</v>
      </c>
      <c r="M10" s="9" t="n">
        <v>1</v>
      </c>
      <c r="N10" s="6" t="str">
        <f aca="false">C10&amp;"|"&amp;D10</f>
        <v>kanban-board|interactive</v>
      </c>
      <c r="O10" s="6" t="n">
        <f aca="false">IF(G10="finished",0,1)</f>
        <v>1</v>
      </c>
      <c r="P10" s="6" t="str">
        <f aca="false">IF(O10=0,LN(H10),"")</f>
        <v/>
      </c>
      <c r="Q10" s="6" t="n">
        <f aca="false">IF(ISNUMBER(K10),IF(K10&gt;0,LN(K10),""),"")</f>
        <v>6.00512087355547</v>
      </c>
      <c r="R10" s="6" t="n">
        <f aca="false">IF(M10=1,INDEX(Quality!$AF:$AF,MATCH(A10,Quality!$A:$A,0)),"")</f>
        <v>84</v>
      </c>
      <c r="S10" s="6" t="n">
        <f aca="false">IF(R10="","",IF(T10=1,0,R10))</f>
        <v>0</v>
      </c>
      <c r="T10" s="6" t="n">
        <f aca="false">IF(M10=1,INDEX(Quality!$AG:$AG,MATCH(A10,Quality!$A:$A,0)),0)</f>
        <v>1</v>
      </c>
      <c r="U10" s="6" t="n">
        <f aca="false">IF(M10=1,INDEX(Quality!$AS:$AS,MATCH(A10,Quality!$A:$A,0)),"")</f>
        <v>0.5</v>
      </c>
      <c r="V10" s="9" t="n">
        <v>1</v>
      </c>
      <c r="W10" s="9"/>
      <c r="X10" s="9" t="n">
        <v>6.00512</v>
      </c>
      <c r="Y10" s="9" t="n">
        <v>84</v>
      </c>
      <c r="Z10" s="9" t="n">
        <v>1</v>
      </c>
      <c r="AA10" s="9" t="n">
        <v>0.5</v>
      </c>
      <c r="AB10" s="9" t="s">
        <v>121</v>
      </c>
      <c r="AC10" s="9" t="n">
        <v>72</v>
      </c>
      <c r="AD10" s="9" t="n">
        <v>0.75</v>
      </c>
      <c r="AE10" s="9" t="n">
        <v>405.5</v>
      </c>
      <c r="AF10" s="9" t="n">
        <v>0</v>
      </c>
      <c r="AG10" s="9" t="n">
        <v>0</v>
      </c>
      <c r="AH10" s="6" t="str">
        <f aca="false">IF(AND(G10=AB10,IF(AND(ISNUMBER(H10),ISNUMBER(AC10)),ABS(N(H10)-N(AC10))&lt;=Settings!$B$9*MAX(1,ABS(N(AC10))),AND(H10="",AC10="")),IF(AND(ISNUMBER(J10),ISNUMBER(AD10)),ABS(N(J10)-N(AD10))&lt;=Settings!$B$9*MAX(1,ABS(N(AD10))),AND(J10="",AD10="")),IF(AND(ISNUMBER(K10),ISNUMBER(AE10)),ABS(N(K10)-N(AE10))&lt;=Settings!$B$9*MAX(1,ABS(N(AE10))),AND(K10="",AE10="")),L10=AF10,I10=AG10),"ok","CHECK")</f>
        <v>ok</v>
      </c>
      <c r="AI10" s="6" t="str">
        <f aca="false">IF(AND(IF(AND(ISNUMBER(O10),ISNUMBER(V10)),ABS(N(O10)-N(V10))&lt;=Settings!$B$9*MAX(1,ABS(N(V10))),AND(O10="",V10="")),IF(AND(ISNUMBER(P10),ISNUMBER(W10)),ABS(N(P10)-N(W10))&lt;=Settings!$B$9*MAX(1,ABS(N(W10))),AND(P10="",W10="")),IF(AND(ISNUMBER(Q10),ISNUMBER(X10)),ABS(N(Q10)-N(X10))&lt;=Settings!$B$9*MAX(1,ABS(N(X10))),AND(Q10="",X10="")),IF(AND(ISNUMBER(R10),ISNUMBER(Y10)),ABS(N(R10)-N(Y10))&lt;=Settings!$B$9*MAX(1,ABS(N(Y10))),AND(R10="",Y10="")),T10=Z10,IF(AND(ISNUMBER(U10),ISNUMBER(AA10)),ABS(N(U10)-N(AA10))&lt;=Settings!$B$9*MAX(1,ABS(N(AA10))),AND(U10="",AA10=""))),"ok","CHECK")</f>
        <v>ok</v>
      </c>
      <c r="AJ10" s="2"/>
      <c r="AK10" s="6" t="n">
        <f aca="false">IF(ISNUMBER(P10),1,0)</f>
        <v>0</v>
      </c>
      <c r="AL10" s="6" t="n">
        <f aca="false">COUNTIFS(Runs!$B$2:$B$61,B10,Runs!$E$2:$E$61,E10,Runs!$N$2:$N$61,N10,Runs!$AK$2:$AK$61,1)</f>
        <v>1</v>
      </c>
      <c r="AM10" s="6" t="str">
        <f aca="false">IF(AK10=1,AVERAGEIFS(Runs!$P$2:$P$61,Runs!$B$2:$B$61,B10,Runs!$E$2:$E$61,E10,Runs!$N$2:$N$61,N10,Runs!$AK$2:$AK$61,1),"")</f>
        <v/>
      </c>
      <c r="AN10" s="6" t="n">
        <f aca="false">IF(AK10=1,IF(AL10&gt;1,(P10-AM10)^2*AL10/(AL10-1),0),0)</f>
        <v>0</v>
      </c>
      <c r="AO10" s="6" t="n">
        <f aca="false">IF(ISNUMBER(R10),1,0)</f>
        <v>1</v>
      </c>
      <c r="AP10" s="6" t="n">
        <f aca="false">COUNTIFS(Runs!$B$2:$B$61,B10,Runs!$E$2:$E$61,E10,Runs!$N$2:$N$61,N10,Runs!$AO$2:$AO$61,1)</f>
        <v>2</v>
      </c>
      <c r="AQ10" s="6" t="n">
        <f aca="false">IF(AO10=1,AVERAGEIFS(Runs!$R$2:$R$61,Runs!$B$2:$B$61,B10,Runs!$E$2:$E$61,E10,Runs!$N$2:$N$61,N10,Runs!$AO$2:$AO$61,1),"")</f>
        <v>87</v>
      </c>
      <c r="AR10" s="6" t="n">
        <f aca="false">IF(AO10=1,IF(AP10&gt;1,(R10-AQ10)^2*AP10/(AP10-1),0),0)</f>
        <v>18</v>
      </c>
      <c r="AS10" s="6" t="n">
        <f aca="false">IF(ISNUMBER(J10),1,0)</f>
        <v>1</v>
      </c>
      <c r="AT10" s="6" t="n">
        <f aca="false">COUNTIFS(Runs!$B$2:$B$61,B10,Runs!$E$2:$E$61,E10,Runs!$N$2:$N$61,N10,Runs!$AS$2:$AS$61,1)</f>
        <v>2</v>
      </c>
      <c r="AU10" s="6" t="n">
        <f aca="false">IF(AS10=1,AVERAGEIFS(Runs!$J$2:$J$61,Runs!$B$2:$B$61,B10,Runs!$E$2:$E$61,E10,Runs!$N$2:$N$61,N10,Runs!$AS$2:$AS$61,1),"")</f>
        <v>0.7083335</v>
      </c>
      <c r="AV10" s="6" t="n">
        <f aca="false">IF(AS10=1,IF(AT10&gt;1,(J10-AU10)^2*AT10/(AT10-1),0),0)</f>
        <v>0.00347219444450001</v>
      </c>
      <c r="AW10" s="6" t="n">
        <f aca="false">IF(ISNUMBER(Q10),1,0)</f>
        <v>1</v>
      </c>
      <c r="AX10" s="6" t="n">
        <f aca="false">COUNTIFS(Runs!$B$2:$B$61,B10,Runs!$E$2:$E$61,E10,Runs!$N$2:$N$61,N10,Runs!$AW$2:$AW$61,1)</f>
        <v>2</v>
      </c>
      <c r="AY10" s="6" t="n">
        <f aca="false">IF(AW10=1,AVERAGEIFS(Runs!$Q$2:$Q$61,Runs!$B$2:$B$61,B10,Runs!$E$2:$E$61,E10,Runs!$N$2:$N$61,N10,Runs!$AW$2:$AW$61,1),"")</f>
        <v>5.98499236943314</v>
      </c>
      <c r="AZ10" s="6" t="n">
        <f aca="false">IF(AW10=1,IF(AX10&gt;1,(Q10-AY10)^2*AX10/(AX10-1),0),0)</f>
        <v>0.000810313356405546</v>
      </c>
    </row>
    <row r="11" customFormat="false" ht="15" hidden="false" customHeight="false" outlineLevel="0" collapsed="false">
      <c r="A11" s="9" t="s">
        <v>122</v>
      </c>
      <c r="B11" s="9" t="s">
        <v>104</v>
      </c>
      <c r="C11" s="9" t="s">
        <v>105</v>
      </c>
      <c r="D11" s="9" t="s">
        <v>118</v>
      </c>
      <c r="E11" s="9" t="s">
        <v>111</v>
      </c>
      <c r="F11" s="9" t="n">
        <v>2</v>
      </c>
      <c r="G11" s="9" t="s">
        <v>108</v>
      </c>
      <c r="H11" s="9" t="n">
        <v>27</v>
      </c>
      <c r="I11" s="9" t="n">
        <v>0</v>
      </c>
      <c r="J11" s="9" t="n">
        <v>0.666667</v>
      </c>
      <c r="K11" s="9" t="n">
        <v>389.5</v>
      </c>
      <c r="L11" s="9" t="n">
        <v>0</v>
      </c>
      <c r="M11" s="9" t="n">
        <v>1</v>
      </c>
      <c r="N11" s="6" t="str">
        <f aca="false">C11&amp;"|"&amp;D11</f>
        <v>kanban-board|interactive</v>
      </c>
      <c r="O11" s="6" t="n">
        <f aca="false">IF(G11="finished",0,1)</f>
        <v>0</v>
      </c>
      <c r="P11" s="6" t="n">
        <f aca="false">IF(O11=0,LN(H11),"")</f>
        <v>3.29583686600433</v>
      </c>
      <c r="Q11" s="6" t="n">
        <f aca="false">IF(ISNUMBER(K11),IF(K11&gt;0,LN(K11),""),"")</f>
        <v>5.9648638653108</v>
      </c>
      <c r="R11" s="6" t="n">
        <f aca="false">IF(M11=1,INDEX(Quality!$AF:$AF,MATCH(A11,Quality!$A:$A,0)),"")</f>
        <v>90</v>
      </c>
      <c r="S11" s="6" t="n">
        <f aca="false">IF(R11="","",IF(T11=1,0,R11))</f>
        <v>90</v>
      </c>
      <c r="T11" s="6" t="n">
        <f aca="false">IF(M11=1,INDEX(Quality!$AG:$AG,MATCH(A11,Quality!$A:$A,0)),0)</f>
        <v>0</v>
      </c>
      <c r="U11" s="6" t="n">
        <f aca="false">IF(M11=1,INDEX(Quality!$AS:$AS,MATCH(A11,Quality!$A:$A,0)),"")</f>
        <v>0.6</v>
      </c>
      <c r="V11" s="9" t="n">
        <v>0</v>
      </c>
      <c r="W11" s="9" t="n">
        <v>3.29584</v>
      </c>
      <c r="X11" s="9" t="n">
        <v>5.96486</v>
      </c>
      <c r="Y11" s="9" t="n">
        <v>90</v>
      </c>
      <c r="Z11" s="9" t="n">
        <v>0</v>
      </c>
      <c r="AA11" s="9" t="n">
        <v>0.6</v>
      </c>
      <c r="AB11" s="9" t="s">
        <v>108</v>
      </c>
      <c r="AC11" s="9" t="n">
        <v>27</v>
      </c>
      <c r="AD11" s="9" t="n">
        <v>0.666666666666667</v>
      </c>
      <c r="AE11" s="9" t="n">
        <v>389.5</v>
      </c>
      <c r="AF11" s="9" t="n">
        <v>0</v>
      </c>
      <c r="AG11" s="9" t="n">
        <v>0</v>
      </c>
      <c r="AH11" s="6" t="str">
        <f aca="false">IF(AND(G11=AB11,IF(AND(ISNUMBER(H11),ISNUMBER(AC11)),ABS(N(H11)-N(AC11))&lt;=Settings!$B$9*MAX(1,ABS(N(AC11))),AND(H11="",AC11="")),IF(AND(ISNUMBER(J11),ISNUMBER(AD11)),ABS(N(J11)-N(AD11))&lt;=Settings!$B$9*MAX(1,ABS(N(AD11))),AND(J11="",AD11="")),IF(AND(ISNUMBER(K11),ISNUMBER(AE11)),ABS(N(K11)-N(AE11))&lt;=Settings!$B$9*MAX(1,ABS(N(AE11))),AND(K11="",AE11="")),L11=AF11,I11=AG11),"ok","CHECK")</f>
        <v>ok</v>
      </c>
      <c r="AI11" s="6" t="str">
        <f aca="false">IF(AND(IF(AND(ISNUMBER(O11),ISNUMBER(V11)),ABS(N(O11)-N(V11))&lt;=Settings!$B$9*MAX(1,ABS(N(V11))),AND(O11="",V11="")),IF(AND(ISNUMBER(P11),ISNUMBER(W11)),ABS(N(P11)-N(W11))&lt;=Settings!$B$9*MAX(1,ABS(N(W11))),AND(P11="",W11="")),IF(AND(ISNUMBER(Q11),ISNUMBER(X11)),ABS(N(Q11)-N(X11))&lt;=Settings!$B$9*MAX(1,ABS(N(X11))),AND(Q11="",X11="")),IF(AND(ISNUMBER(R11),ISNUMBER(Y11)),ABS(N(R11)-N(Y11))&lt;=Settings!$B$9*MAX(1,ABS(N(Y11))),AND(R11="",Y11="")),T11=Z11,IF(AND(ISNUMBER(U11),ISNUMBER(AA11)),ABS(N(U11)-N(AA11))&lt;=Settings!$B$9*MAX(1,ABS(N(AA11))),AND(U11="",AA11=""))),"ok","CHECK")</f>
        <v>ok</v>
      </c>
      <c r="AJ11" s="2"/>
      <c r="AK11" s="6" t="n">
        <f aca="false">IF(ISNUMBER(P11),1,0)</f>
        <v>1</v>
      </c>
      <c r="AL11" s="6" t="n">
        <f aca="false">COUNTIFS(Runs!$B$2:$B$61,B11,Runs!$E$2:$E$61,E11,Runs!$N$2:$N$61,N11,Runs!$AK$2:$AK$61,1)</f>
        <v>1</v>
      </c>
      <c r="AM11" s="6" t="n">
        <f aca="false">IF(AK11=1,AVERAGEIFS(Runs!$P$2:$P$61,Runs!$B$2:$B$61,B11,Runs!$E$2:$E$61,E11,Runs!$N$2:$N$61,N11,Runs!$AK$2:$AK$61,1),"")</f>
        <v>3.29583686600433</v>
      </c>
      <c r="AN11" s="6" t="n">
        <f aca="false">IF(AK11=1,IF(AL11&gt;1,(P11-AM11)^2*AL11/(AL11-1),0),0)</f>
        <v>0</v>
      </c>
      <c r="AO11" s="6" t="n">
        <f aca="false">IF(ISNUMBER(R11),1,0)</f>
        <v>1</v>
      </c>
      <c r="AP11" s="6" t="n">
        <f aca="false">COUNTIFS(Runs!$B$2:$B$61,B11,Runs!$E$2:$E$61,E11,Runs!$N$2:$N$61,N11,Runs!$AO$2:$AO$61,1)</f>
        <v>2</v>
      </c>
      <c r="AQ11" s="6" t="n">
        <f aca="false">IF(AO11=1,AVERAGEIFS(Runs!$R$2:$R$61,Runs!$B$2:$B$61,B11,Runs!$E$2:$E$61,E11,Runs!$N$2:$N$61,N11,Runs!$AO$2:$AO$61,1),"")</f>
        <v>87</v>
      </c>
      <c r="AR11" s="6" t="n">
        <f aca="false">IF(AO11=1,IF(AP11&gt;1,(R11-AQ11)^2*AP11/(AP11-1),0),0)</f>
        <v>18</v>
      </c>
      <c r="AS11" s="6" t="n">
        <f aca="false">IF(ISNUMBER(J11),1,0)</f>
        <v>1</v>
      </c>
      <c r="AT11" s="6" t="n">
        <f aca="false">COUNTIFS(Runs!$B$2:$B$61,B11,Runs!$E$2:$E$61,E11,Runs!$N$2:$N$61,N11,Runs!$AS$2:$AS$61,1)</f>
        <v>2</v>
      </c>
      <c r="AU11" s="6" t="n">
        <f aca="false">IF(AS11=1,AVERAGEIFS(Runs!$J$2:$J$61,Runs!$B$2:$B$61,B11,Runs!$E$2:$E$61,E11,Runs!$N$2:$N$61,N11,Runs!$AS$2:$AS$61,1),"")</f>
        <v>0.7083335</v>
      </c>
      <c r="AV11" s="6" t="n">
        <f aca="false">IF(AS11=1,IF(AT11&gt;1,(J11-AU11)^2*AT11/(AT11-1),0),0)</f>
        <v>0.00347219444449999</v>
      </c>
      <c r="AW11" s="6" t="n">
        <f aca="false">IF(ISNUMBER(Q11),1,0)</f>
        <v>1</v>
      </c>
      <c r="AX11" s="6" t="n">
        <f aca="false">COUNTIFS(Runs!$B$2:$B$61,B11,Runs!$E$2:$E$61,E11,Runs!$N$2:$N$61,N11,Runs!$AW$2:$AW$61,1)</f>
        <v>2</v>
      </c>
      <c r="AY11" s="6" t="n">
        <f aca="false">IF(AW11=1,AVERAGEIFS(Runs!$Q$2:$Q$61,Runs!$B$2:$B$61,B11,Runs!$E$2:$E$61,E11,Runs!$N$2:$N$61,N11,Runs!$AW$2:$AW$61,1),"")</f>
        <v>5.98499236943314</v>
      </c>
      <c r="AZ11" s="6" t="n">
        <f aca="false">IF(AW11=1,IF(AX11&gt;1,(Q11-AY11)^2*AX11/(AX11-1),0),0)</f>
        <v>0.000810313356405475</v>
      </c>
    </row>
    <row r="12" customFormat="false" ht="15" hidden="false" customHeight="false" outlineLevel="0" collapsed="false">
      <c r="A12" s="9" t="s">
        <v>123</v>
      </c>
      <c r="B12" s="9" t="s">
        <v>104</v>
      </c>
      <c r="C12" s="9" t="s">
        <v>105</v>
      </c>
      <c r="D12" s="9" t="s">
        <v>118</v>
      </c>
      <c r="E12" s="9" t="s">
        <v>115</v>
      </c>
      <c r="F12" s="9" t="n">
        <v>1</v>
      </c>
      <c r="G12" s="9" t="s">
        <v>108</v>
      </c>
      <c r="H12" s="9" t="n">
        <v>47</v>
      </c>
      <c r="I12" s="9" t="n">
        <v>1</v>
      </c>
      <c r="J12" s="9" t="n">
        <v>0.978723</v>
      </c>
      <c r="K12" s="9" t="n">
        <v>155.5</v>
      </c>
      <c r="L12" s="9" t="n">
        <v>0</v>
      </c>
      <c r="M12" s="9" t="n">
        <v>1</v>
      </c>
      <c r="N12" s="6" t="str">
        <f aca="false">C12&amp;"|"&amp;D12</f>
        <v>kanban-board|interactive</v>
      </c>
      <c r="O12" s="6" t="n">
        <f aca="false">IF(G12="finished",0,1)</f>
        <v>0</v>
      </c>
      <c r="P12" s="6" t="n">
        <f aca="false">IF(O12=0,LN(H12),"")</f>
        <v>3.85014760171006</v>
      </c>
      <c r="Q12" s="6" t="n">
        <f aca="false">IF(ISNUMBER(K12),IF(K12&gt;0,LN(K12),""),"")</f>
        <v>5.04664573161929</v>
      </c>
      <c r="R12" s="6" t="n">
        <f aca="false">IF(M12=1,INDEX(Quality!$AF:$AF,MATCH(A12,Quality!$A:$A,0)),"")</f>
        <v>90</v>
      </c>
      <c r="S12" s="6" t="n">
        <f aca="false">IF(R12="","",IF(T12=1,0,R12))</f>
        <v>90</v>
      </c>
      <c r="T12" s="6" t="n">
        <f aca="false">IF(M12=1,INDEX(Quality!$AG:$AG,MATCH(A12,Quality!$A:$A,0)),0)</f>
        <v>0</v>
      </c>
      <c r="U12" s="6" t="n">
        <f aca="false">IF(M12=1,INDEX(Quality!$AS:$AS,MATCH(A12,Quality!$A:$A,0)),"")</f>
        <v>0.9</v>
      </c>
      <c r="V12" s="9" t="n">
        <v>0</v>
      </c>
      <c r="W12" s="9" t="n">
        <v>3.85015</v>
      </c>
      <c r="X12" s="9" t="n">
        <v>5.04665</v>
      </c>
      <c r="Y12" s="9" t="n">
        <v>90</v>
      </c>
      <c r="Z12" s="9" t="n">
        <v>0</v>
      </c>
      <c r="AA12" s="9" t="n">
        <v>0.9</v>
      </c>
      <c r="AB12" s="9" t="s">
        <v>108</v>
      </c>
      <c r="AC12" s="9" t="n">
        <v>47</v>
      </c>
      <c r="AD12" s="9" t="n">
        <v>0.978723404255319</v>
      </c>
      <c r="AE12" s="9" t="n">
        <v>155.5</v>
      </c>
      <c r="AF12" s="9" t="n">
        <v>0</v>
      </c>
      <c r="AG12" s="9" t="n">
        <v>1</v>
      </c>
      <c r="AH12" s="6" t="str">
        <f aca="false">IF(AND(G12=AB12,IF(AND(ISNUMBER(H12),ISNUMBER(AC12)),ABS(N(H12)-N(AC12))&lt;=Settings!$B$9*MAX(1,ABS(N(AC12))),AND(H12="",AC12="")),IF(AND(ISNUMBER(J12),ISNUMBER(AD12)),ABS(N(J12)-N(AD12))&lt;=Settings!$B$9*MAX(1,ABS(N(AD12))),AND(J12="",AD12="")),IF(AND(ISNUMBER(K12),ISNUMBER(AE12)),ABS(N(K12)-N(AE12))&lt;=Settings!$B$9*MAX(1,ABS(N(AE12))),AND(K12="",AE12="")),L12=AF12,I12=AG12),"ok","CHECK")</f>
        <v>ok</v>
      </c>
      <c r="AI12" s="6" t="str">
        <f aca="false">IF(AND(IF(AND(ISNUMBER(O12),ISNUMBER(V12)),ABS(N(O12)-N(V12))&lt;=Settings!$B$9*MAX(1,ABS(N(V12))),AND(O12="",V12="")),IF(AND(ISNUMBER(P12),ISNUMBER(W12)),ABS(N(P12)-N(W12))&lt;=Settings!$B$9*MAX(1,ABS(N(W12))),AND(P12="",W12="")),IF(AND(ISNUMBER(Q12),ISNUMBER(X12)),ABS(N(Q12)-N(X12))&lt;=Settings!$B$9*MAX(1,ABS(N(X12))),AND(Q12="",X12="")),IF(AND(ISNUMBER(R12),ISNUMBER(Y12)),ABS(N(R12)-N(Y12))&lt;=Settings!$B$9*MAX(1,ABS(N(Y12))),AND(R12="",Y12="")),T12=Z12,IF(AND(ISNUMBER(U12),ISNUMBER(AA12)),ABS(N(U12)-N(AA12))&lt;=Settings!$B$9*MAX(1,ABS(N(AA12))),AND(U12="",AA12=""))),"ok","CHECK")</f>
        <v>ok</v>
      </c>
      <c r="AJ12" s="2"/>
      <c r="AK12" s="6" t="n">
        <f aca="false">IF(ISNUMBER(P12),1,0)</f>
        <v>1</v>
      </c>
      <c r="AL12" s="6" t="n">
        <f aca="false">COUNTIFS(Runs!$B$2:$B$61,B12,Runs!$E$2:$E$61,E12,Runs!$N$2:$N$61,N12,Runs!$AK$2:$AK$61,1)</f>
        <v>2</v>
      </c>
      <c r="AM12" s="6" t="n">
        <f aca="false">IF(AK12=1,AVERAGEIFS(Runs!$P$2:$P$61,Runs!$B$2:$B$61,B12,Runs!$E$2:$E$61,E12,Runs!$N$2:$N$61,N12,Runs!$AK$2:$AK$61,1),"")</f>
        <v>3.8810853035691</v>
      </c>
      <c r="AN12" s="6" t="n">
        <f aca="false">IF(AK12=1,IF(AL12&gt;1,(P12-AM12)^2*AL12/(AL12-1),0),0)</f>
        <v>0.00191428279263813</v>
      </c>
      <c r="AO12" s="6" t="n">
        <f aca="false">IF(ISNUMBER(R12),1,0)</f>
        <v>1</v>
      </c>
      <c r="AP12" s="6" t="n">
        <f aca="false">COUNTIFS(Runs!$B$2:$B$61,B12,Runs!$E$2:$E$61,E12,Runs!$N$2:$N$61,N12,Runs!$AO$2:$AO$61,1)</f>
        <v>2</v>
      </c>
      <c r="AQ12" s="6" t="n">
        <f aca="false">IF(AO12=1,AVERAGEIFS(Runs!$R$2:$R$61,Runs!$B$2:$B$61,B12,Runs!$E$2:$E$61,E12,Runs!$N$2:$N$61,N12,Runs!$AO$2:$AO$61,1),"")</f>
        <v>52</v>
      </c>
      <c r="AR12" s="6" t="n">
        <f aca="false">IF(AO12=1,IF(AP12&gt;1,(R12-AQ12)^2*AP12/(AP12-1),0),0)</f>
        <v>2888</v>
      </c>
      <c r="AS12" s="6" t="n">
        <f aca="false">IF(ISNUMBER(J12),1,0)</f>
        <v>1</v>
      </c>
      <c r="AT12" s="6" t="n">
        <f aca="false">COUNTIFS(Runs!$B$2:$B$61,B12,Runs!$E$2:$E$61,E12,Runs!$N$2:$N$61,N12,Runs!$AS$2:$AS$61,1)</f>
        <v>2</v>
      </c>
      <c r="AU12" s="6" t="n">
        <f aca="false">IF(AS12=1,AVERAGEIFS(Runs!$J$2:$J$61,Runs!$B$2:$B$61,B12,Runs!$E$2:$E$61,E12,Runs!$N$2:$N$61,N12,Runs!$AS$2:$AS$61,1),"")</f>
        <v>0.9793615</v>
      </c>
      <c r="AV12" s="6" t="n">
        <f aca="false">IF(AS12=1,IF(AT12&gt;1,(J12-AU12)^2*AT12/(AT12-1),0),0)</f>
        <v>8.15364499999965E-007</v>
      </c>
      <c r="AW12" s="6" t="n">
        <f aca="false">IF(ISNUMBER(Q12),1,0)</f>
        <v>1</v>
      </c>
      <c r="AX12" s="6" t="n">
        <f aca="false">COUNTIFS(Runs!$B$2:$B$61,B12,Runs!$E$2:$E$61,E12,Runs!$N$2:$N$61,N12,Runs!$AW$2:$AW$61,1)</f>
        <v>2</v>
      </c>
      <c r="AY12" s="6" t="n">
        <f aca="false">IF(AW12=1,AVERAGEIFS(Runs!$Q$2:$Q$61,Runs!$B$2:$B$61,B12,Runs!$E$2:$E$61,E12,Runs!$N$2:$N$61,N12,Runs!$AW$2:$AW$61,1),"")</f>
        <v>4.93346364861216</v>
      </c>
      <c r="AZ12" s="6" t="n">
        <f aca="false">IF(AW12=1,IF(AX12&gt;1,(Q12-AY12)^2*AX12/(AX12-1),0),0)</f>
        <v>0.0256203678276638</v>
      </c>
    </row>
    <row r="13" customFormat="false" ht="15" hidden="false" customHeight="false" outlineLevel="0" collapsed="false">
      <c r="A13" s="9" t="s">
        <v>124</v>
      </c>
      <c r="B13" s="9" t="s">
        <v>104</v>
      </c>
      <c r="C13" s="9" t="s">
        <v>105</v>
      </c>
      <c r="D13" s="9" t="s">
        <v>118</v>
      </c>
      <c r="E13" s="9" t="s">
        <v>115</v>
      </c>
      <c r="F13" s="9" t="n">
        <v>2</v>
      </c>
      <c r="G13" s="9" t="s">
        <v>108</v>
      </c>
      <c r="H13" s="9" t="n">
        <v>50</v>
      </c>
      <c r="I13" s="9" t="n">
        <v>0</v>
      </c>
      <c r="J13" s="9" t="n">
        <v>0.98</v>
      </c>
      <c r="K13" s="9" t="n">
        <v>124</v>
      </c>
      <c r="L13" s="9" t="n">
        <v>0</v>
      </c>
      <c r="M13" s="9" t="n">
        <v>1</v>
      </c>
      <c r="N13" s="6" t="str">
        <f aca="false">C13&amp;"|"&amp;D13</f>
        <v>kanban-board|interactive</v>
      </c>
      <c r="O13" s="6" t="n">
        <f aca="false">IF(G13="finished",0,1)</f>
        <v>0</v>
      </c>
      <c r="P13" s="6" t="n">
        <f aca="false">IF(O13=0,LN(H13),"")</f>
        <v>3.91202300542815</v>
      </c>
      <c r="Q13" s="6" t="n">
        <f aca="false">IF(ISNUMBER(K13),IF(K13&gt;0,LN(K13),""),"")</f>
        <v>4.82028156560504</v>
      </c>
      <c r="R13" s="6" t="n">
        <f aca="false">IF(M13=1,INDEX(Quality!$AF:$AF,MATCH(A13,Quality!$A:$A,0)),"")</f>
        <v>14</v>
      </c>
      <c r="S13" s="6" t="n">
        <f aca="false">IF(R13="","",IF(T13=1,0,R13))</f>
        <v>14</v>
      </c>
      <c r="T13" s="6" t="n">
        <f aca="false">IF(M13=1,INDEX(Quality!$AG:$AG,MATCH(A13,Quality!$A:$A,0)),0)</f>
        <v>0</v>
      </c>
      <c r="U13" s="6" t="n">
        <f aca="false">IF(M13=1,INDEX(Quality!$AS:$AS,MATCH(A13,Quality!$A:$A,0)),"")</f>
        <v>0.6</v>
      </c>
      <c r="V13" s="9" t="n">
        <v>0</v>
      </c>
      <c r="W13" s="9" t="n">
        <v>3.91202</v>
      </c>
      <c r="X13" s="9" t="n">
        <v>4.82028</v>
      </c>
      <c r="Y13" s="9" t="n">
        <v>14</v>
      </c>
      <c r="Z13" s="9" t="n">
        <v>0</v>
      </c>
      <c r="AA13" s="9" t="n">
        <v>0.6</v>
      </c>
      <c r="AB13" s="9" t="s">
        <v>108</v>
      </c>
      <c r="AC13" s="9" t="n">
        <v>50</v>
      </c>
      <c r="AD13" s="9" t="n">
        <v>0.98</v>
      </c>
      <c r="AE13" s="9" t="n">
        <v>124</v>
      </c>
      <c r="AF13" s="9" t="n">
        <v>0</v>
      </c>
      <c r="AG13" s="9" t="n">
        <v>0</v>
      </c>
      <c r="AH13" s="6" t="str">
        <f aca="false">IF(AND(G13=AB13,IF(AND(ISNUMBER(H13),ISNUMBER(AC13)),ABS(N(H13)-N(AC13))&lt;=Settings!$B$9*MAX(1,ABS(N(AC13))),AND(H13="",AC13="")),IF(AND(ISNUMBER(J13),ISNUMBER(AD13)),ABS(N(J13)-N(AD13))&lt;=Settings!$B$9*MAX(1,ABS(N(AD13))),AND(J13="",AD13="")),IF(AND(ISNUMBER(K13),ISNUMBER(AE13)),ABS(N(K13)-N(AE13))&lt;=Settings!$B$9*MAX(1,ABS(N(AE13))),AND(K13="",AE13="")),L13=AF13,I13=AG13),"ok","CHECK")</f>
        <v>ok</v>
      </c>
      <c r="AI13" s="6" t="str">
        <f aca="false">IF(AND(IF(AND(ISNUMBER(O13),ISNUMBER(V13)),ABS(N(O13)-N(V13))&lt;=Settings!$B$9*MAX(1,ABS(N(V13))),AND(O13="",V13="")),IF(AND(ISNUMBER(P13),ISNUMBER(W13)),ABS(N(P13)-N(W13))&lt;=Settings!$B$9*MAX(1,ABS(N(W13))),AND(P13="",W13="")),IF(AND(ISNUMBER(Q13),ISNUMBER(X13)),ABS(N(Q13)-N(X13))&lt;=Settings!$B$9*MAX(1,ABS(N(X13))),AND(Q13="",X13="")),IF(AND(ISNUMBER(R13),ISNUMBER(Y13)),ABS(N(R13)-N(Y13))&lt;=Settings!$B$9*MAX(1,ABS(N(Y13))),AND(R13="",Y13="")),T13=Z13,IF(AND(ISNUMBER(U13),ISNUMBER(AA13)),ABS(N(U13)-N(AA13))&lt;=Settings!$B$9*MAX(1,ABS(N(AA13))),AND(U13="",AA13=""))),"ok","CHECK")</f>
        <v>ok</v>
      </c>
      <c r="AJ13" s="2"/>
      <c r="AK13" s="6" t="n">
        <f aca="false">IF(ISNUMBER(P13),1,0)</f>
        <v>1</v>
      </c>
      <c r="AL13" s="6" t="n">
        <f aca="false">COUNTIFS(Runs!$B$2:$B$61,B13,Runs!$E$2:$E$61,E13,Runs!$N$2:$N$61,N13,Runs!$AK$2:$AK$61,1)</f>
        <v>2</v>
      </c>
      <c r="AM13" s="6" t="n">
        <f aca="false">IF(AK13=1,AVERAGEIFS(Runs!$P$2:$P$61,Runs!$B$2:$B$61,B13,Runs!$E$2:$E$61,E13,Runs!$N$2:$N$61,N13,Runs!$AK$2:$AK$61,1),"")</f>
        <v>3.8810853035691</v>
      </c>
      <c r="AN13" s="6" t="n">
        <f aca="false">IF(AK13=1,IF(AL13&gt;1,(P13-AM13)^2*AL13/(AL13-1),0),0)</f>
        <v>0.00191428279263819</v>
      </c>
      <c r="AO13" s="6" t="n">
        <f aca="false">IF(ISNUMBER(R13),1,0)</f>
        <v>1</v>
      </c>
      <c r="AP13" s="6" t="n">
        <f aca="false">COUNTIFS(Runs!$B$2:$B$61,B13,Runs!$E$2:$E$61,E13,Runs!$N$2:$N$61,N13,Runs!$AO$2:$AO$61,1)</f>
        <v>2</v>
      </c>
      <c r="AQ13" s="6" t="n">
        <f aca="false">IF(AO13=1,AVERAGEIFS(Runs!$R$2:$R$61,Runs!$B$2:$B$61,B13,Runs!$E$2:$E$61,E13,Runs!$N$2:$N$61,N13,Runs!$AO$2:$AO$61,1),"")</f>
        <v>52</v>
      </c>
      <c r="AR13" s="6" t="n">
        <f aca="false">IF(AO13=1,IF(AP13&gt;1,(R13-AQ13)^2*AP13/(AP13-1),0),0)</f>
        <v>2888</v>
      </c>
      <c r="AS13" s="6" t="n">
        <f aca="false">IF(ISNUMBER(J13),1,0)</f>
        <v>1</v>
      </c>
      <c r="AT13" s="6" t="n">
        <f aca="false">COUNTIFS(Runs!$B$2:$B$61,B13,Runs!$E$2:$E$61,E13,Runs!$N$2:$N$61,N13,Runs!$AS$2:$AS$61,1)</f>
        <v>2</v>
      </c>
      <c r="AU13" s="6" t="n">
        <f aca="false">IF(AS13=1,AVERAGEIFS(Runs!$J$2:$J$61,Runs!$B$2:$B$61,B13,Runs!$E$2:$E$61,E13,Runs!$N$2:$N$61,N13,Runs!$AS$2:$AS$61,1),"")</f>
        <v>0.9793615</v>
      </c>
      <c r="AV13" s="6" t="n">
        <f aca="false">IF(AS13=1,IF(AT13&gt;1,(J13-AU13)^2*AT13/(AT13-1),0),0)</f>
        <v>8.15364499999965E-007</v>
      </c>
      <c r="AW13" s="6" t="n">
        <f aca="false">IF(ISNUMBER(Q13),1,0)</f>
        <v>1</v>
      </c>
      <c r="AX13" s="6" t="n">
        <f aca="false">COUNTIFS(Runs!$B$2:$B$61,B13,Runs!$E$2:$E$61,E13,Runs!$N$2:$N$61,N13,Runs!$AW$2:$AW$61,1)</f>
        <v>2</v>
      </c>
      <c r="AY13" s="6" t="n">
        <f aca="false">IF(AW13=1,AVERAGEIFS(Runs!$Q$2:$Q$61,Runs!$B$2:$B$61,B13,Runs!$E$2:$E$61,E13,Runs!$N$2:$N$61,N13,Runs!$AW$2:$AW$61,1),"")</f>
        <v>4.93346364861216</v>
      </c>
      <c r="AZ13" s="6" t="n">
        <f aca="false">IF(AW13=1,IF(AX13&gt;1,(Q13-AY13)^2*AX13/(AX13-1),0),0)</f>
        <v>0.0256203678276638</v>
      </c>
    </row>
    <row r="14" customFormat="false" ht="15" hidden="false" customHeight="false" outlineLevel="0" collapsed="false">
      <c r="A14" s="9" t="s">
        <v>125</v>
      </c>
      <c r="B14" s="9" t="s">
        <v>104</v>
      </c>
      <c r="C14" s="9" t="s">
        <v>105</v>
      </c>
      <c r="D14" s="9" t="s">
        <v>126</v>
      </c>
      <c r="E14" s="9" t="s">
        <v>107</v>
      </c>
      <c r="F14" s="9" t="n">
        <v>1</v>
      </c>
      <c r="G14" s="9" t="s">
        <v>108</v>
      </c>
      <c r="H14" s="9" t="n">
        <v>99</v>
      </c>
      <c r="I14" s="9" t="n">
        <v>0</v>
      </c>
      <c r="J14" s="9" t="n">
        <v>0</v>
      </c>
      <c r="K14" s="9"/>
      <c r="L14" s="9" t="n">
        <v>1</v>
      </c>
      <c r="M14" s="9" t="n">
        <v>1</v>
      </c>
      <c r="N14" s="6" t="str">
        <f aca="false">C14&amp;"|"&amp;D14</f>
        <v>kanban-board|no_verification</v>
      </c>
      <c r="O14" s="6" t="n">
        <f aca="false">IF(G14="finished",0,1)</f>
        <v>0</v>
      </c>
      <c r="P14" s="6" t="n">
        <f aca="false">IF(O14=0,LN(H14),"")</f>
        <v>4.59511985013459</v>
      </c>
      <c r="Q14" s="6" t="str">
        <f aca="false">IF(ISNUMBER(K14),IF(K14&gt;0,LN(K14),""),"")</f>
        <v/>
      </c>
      <c r="R14" s="6" t="n">
        <f aca="false">IF(M14=1,INDEX(Quality!$AF:$AF,MATCH(A14,Quality!$A:$A,0)),"")</f>
        <v>6</v>
      </c>
      <c r="S14" s="6" t="n">
        <f aca="false">IF(R14="","",IF(T14=1,0,R14))</f>
        <v>6</v>
      </c>
      <c r="T14" s="6" t="n">
        <f aca="false">IF(M14=1,INDEX(Quality!$AG:$AG,MATCH(A14,Quality!$A:$A,0)),0)</f>
        <v>0</v>
      </c>
      <c r="U14" s="6" t="n">
        <f aca="false">IF(M14=1,INDEX(Quality!$AS:$AS,MATCH(A14,Quality!$A:$A,0)),"")</f>
        <v>0.6</v>
      </c>
      <c r="V14" s="9" t="n">
        <v>0</v>
      </c>
      <c r="W14" s="9" t="n">
        <v>4.59512</v>
      </c>
      <c r="X14" s="9"/>
      <c r="Y14" s="9" t="n">
        <v>6</v>
      </c>
      <c r="Z14" s="9" t="n">
        <v>0</v>
      </c>
      <c r="AA14" s="9" t="n">
        <v>0.6</v>
      </c>
      <c r="AB14" s="9" t="s">
        <v>108</v>
      </c>
      <c r="AC14" s="9" t="n">
        <v>99</v>
      </c>
      <c r="AD14" s="9" t="n">
        <v>0</v>
      </c>
      <c r="AE14" s="9"/>
      <c r="AF14" s="9" t="n">
        <v>1</v>
      </c>
      <c r="AG14" s="9" t="n">
        <v>0</v>
      </c>
      <c r="AH14" s="6" t="str">
        <f aca="false">IF(AND(G14=AB14,IF(AND(ISNUMBER(H14),ISNUMBER(AC14)),ABS(N(H14)-N(AC14))&lt;=Settings!$B$9*MAX(1,ABS(N(AC14))),AND(H14="",AC14="")),IF(AND(ISNUMBER(J14),ISNUMBER(AD14)),ABS(N(J14)-N(AD14))&lt;=Settings!$B$9*MAX(1,ABS(N(AD14))),AND(J14="",AD14="")),IF(AND(ISNUMBER(K14),ISNUMBER(AE14)),ABS(N(K14)-N(AE14))&lt;=Settings!$B$9*MAX(1,ABS(N(AE14))),AND(K14="",AE14="")),L14=AF14,I14=AG14),"ok","CHECK")</f>
        <v>ok</v>
      </c>
      <c r="AI14" s="6" t="str">
        <f aca="false">IF(AND(IF(AND(ISNUMBER(O14),ISNUMBER(V14)),ABS(N(O14)-N(V14))&lt;=Settings!$B$9*MAX(1,ABS(N(V14))),AND(O14="",V14="")),IF(AND(ISNUMBER(P14),ISNUMBER(W14)),ABS(N(P14)-N(W14))&lt;=Settings!$B$9*MAX(1,ABS(N(W14))),AND(P14="",W14="")),IF(AND(ISNUMBER(Q14),ISNUMBER(X14)),ABS(N(Q14)-N(X14))&lt;=Settings!$B$9*MAX(1,ABS(N(X14))),AND(Q14="",X14="")),IF(AND(ISNUMBER(R14),ISNUMBER(Y14)),ABS(N(R14)-N(Y14))&lt;=Settings!$B$9*MAX(1,ABS(N(Y14))),AND(R14="",Y14="")),T14=Z14,IF(AND(ISNUMBER(U14),ISNUMBER(AA14)),ABS(N(U14)-N(AA14))&lt;=Settings!$B$9*MAX(1,ABS(N(AA14))),AND(U14="",AA14=""))),"ok","CHECK")</f>
        <v>ok</v>
      </c>
      <c r="AJ14" s="2"/>
      <c r="AK14" s="6" t="n">
        <f aca="false">IF(ISNUMBER(P14),1,0)</f>
        <v>1</v>
      </c>
      <c r="AL14" s="6" t="n">
        <f aca="false">COUNTIFS(Runs!$B$2:$B$61,B14,Runs!$E$2:$E$61,E14,Runs!$N$2:$N$61,N14,Runs!$AK$2:$AK$61,1)</f>
        <v>1</v>
      </c>
      <c r="AM14" s="6" t="n">
        <f aca="false">IF(AK14=1,AVERAGEIFS(Runs!$P$2:$P$61,Runs!$B$2:$B$61,B14,Runs!$E$2:$E$61,E14,Runs!$N$2:$N$61,N14,Runs!$AK$2:$AK$61,1),"")</f>
        <v>4.59511985013459</v>
      </c>
      <c r="AN14" s="6" t="n">
        <f aca="false">IF(AK14=1,IF(AL14&gt;1,(P14-AM14)^2*AL14/(AL14-1),0),0)</f>
        <v>0</v>
      </c>
      <c r="AO14" s="6" t="n">
        <f aca="false">IF(ISNUMBER(R14),1,0)</f>
        <v>1</v>
      </c>
      <c r="AP14" s="6" t="n">
        <f aca="false">COUNTIFS(Runs!$B$2:$B$61,B14,Runs!$E$2:$E$61,E14,Runs!$N$2:$N$61,N14,Runs!$AO$2:$AO$61,1)</f>
        <v>2</v>
      </c>
      <c r="AQ14" s="6" t="n">
        <f aca="false">IF(AO14=1,AVERAGEIFS(Runs!$R$2:$R$61,Runs!$B$2:$B$61,B14,Runs!$E$2:$E$61,E14,Runs!$N$2:$N$61,N14,Runs!$AO$2:$AO$61,1),"")</f>
        <v>5</v>
      </c>
      <c r="AR14" s="6" t="n">
        <f aca="false">IF(AO14=1,IF(AP14&gt;1,(R14-AQ14)^2*AP14/(AP14-1),0),0)</f>
        <v>2</v>
      </c>
      <c r="AS14" s="6" t="n">
        <f aca="false">IF(ISNUMBER(J14),1,0)</f>
        <v>1</v>
      </c>
      <c r="AT14" s="6" t="n">
        <f aca="false">COUNTIFS(Runs!$B$2:$B$61,B14,Runs!$E$2:$E$61,E14,Runs!$N$2:$N$61,N14,Runs!$AS$2:$AS$61,1)</f>
        <v>2</v>
      </c>
      <c r="AU14" s="6" t="n">
        <f aca="false">IF(AS14=1,AVERAGEIFS(Runs!$J$2:$J$61,Runs!$B$2:$B$61,B14,Runs!$E$2:$E$61,E14,Runs!$N$2:$N$61,N14,Runs!$AS$2:$AS$61,1),"")</f>
        <v>0</v>
      </c>
      <c r="AV14" s="6" t="n">
        <f aca="false">IF(AS14=1,IF(AT14&gt;1,(J14-AU14)^2*AT14/(AT14-1),0),0)</f>
        <v>0</v>
      </c>
      <c r="AW14" s="6" t="n">
        <f aca="false">IF(ISNUMBER(Q14),1,0)</f>
        <v>0</v>
      </c>
      <c r="AX14" s="6" t="n">
        <f aca="false">COUNTIFS(Runs!$B$2:$B$61,B14,Runs!$E$2:$E$61,E14,Runs!$N$2:$N$61,N14,Runs!$AW$2:$AW$61,1)</f>
        <v>0</v>
      </c>
      <c r="AY14" s="6" t="str">
        <f aca="false">IF(AW14=1,AVERAGEIFS(Runs!$Q$2:$Q$61,Runs!$B$2:$B$61,B14,Runs!$E$2:$E$61,E14,Runs!$N$2:$N$61,N14,Runs!$AW$2:$AW$61,1),"")</f>
        <v/>
      </c>
      <c r="AZ14" s="6" t="n">
        <f aca="false">IF(AW14=1,IF(AX14&gt;1,(Q14-AY14)^2*AX14/(AX14-1),0),0)</f>
        <v>0</v>
      </c>
    </row>
    <row r="15" customFormat="false" ht="15" hidden="false" customHeight="false" outlineLevel="0" collapsed="false">
      <c r="A15" s="9" t="s">
        <v>127</v>
      </c>
      <c r="B15" s="9" t="s">
        <v>104</v>
      </c>
      <c r="C15" s="9" t="s">
        <v>105</v>
      </c>
      <c r="D15" s="9" t="s">
        <v>126</v>
      </c>
      <c r="E15" s="9" t="s">
        <v>107</v>
      </c>
      <c r="F15" s="9" t="n">
        <v>2</v>
      </c>
      <c r="G15" s="9" t="s">
        <v>113</v>
      </c>
      <c r="H15" s="9" t="n">
        <v>98</v>
      </c>
      <c r="I15" s="9" t="n">
        <v>0</v>
      </c>
      <c r="J15" s="9" t="n">
        <v>0</v>
      </c>
      <c r="K15" s="9"/>
      <c r="L15" s="9" t="n">
        <v>0</v>
      </c>
      <c r="M15" s="9" t="n">
        <v>1</v>
      </c>
      <c r="N15" s="6" t="str">
        <f aca="false">C15&amp;"|"&amp;D15</f>
        <v>kanban-board|no_verification</v>
      </c>
      <c r="O15" s="6" t="n">
        <f aca="false">IF(G15="finished",0,1)</f>
        <v>1</v>
      </c>
      <c r="P15" s="6" t="str">
        <f aca="false">IF(O15=0,LN(H15),"")</f>
        <v/>
      </c>
      <c r="Q15" s="6" t="str">
        <f aca="false">IF(ISNUMBER(K15),IF(K15&gt;0,LN(K15),""),"")</f>
        <v/>
      </c>
      <c r="R15" s="6" t="n">
        <f aca="false">IF(M15=1,INDEX(Quality!$AF:$AF,MATCH(A15,Quality!$A:$A,0)),"")</f>
        <v>4</v>
      </c>
      <c r="S15" s="6" t="n">
        <f aca="false">IF(R15="","",IF(T15=1,0,R15))</f>
        <v>4</v>
      </c>
      <c r="T15" s="6" t="n">
        <f aca="false">IF(M15=1,INDEX(Quality!$AG:$AG,MATCH(A15,Quality!$A:$A,0)),0)</f>
        <v>0</v>
      </c>
      <c r="U15" s="6" t="n">
        <f aca="false">IF(M15=1,INDEX(Quality!$AS:$AS,MATCH(A15,Quality!$A:$A,0)),"")</f>
        <v>0.7</v>
      </c>
      <c r="V15" s="9" t="n">
        <v>1</v>
      </c>
      <c r="W15" s="9"/>
      <c r="X15" s="9"/>
      <c r="Y15" s="9" t="n">
        <v>4</v>
      </c>
      <c r="Z15" s="9" t="n">
        <v>0</v>
      </c>
      <c r="AA15" s="9" t="n">
        <v>0.7</v>
      </c>
      <c r="AB15" s="9" t="s">
        <v>113</v>
      </c>
      <c r="AC15" s="9" t="n">
        <v>98</v>
      </c>
      <c r="AD15" s="9" t="n">
        <v>0</v>
      </c>
      <c r="AE15" s="9"/>
      <c r="AF15" s="9" t="n">
        <v>0</v>
      </c>
      <c r="AG15" s="9" t="n">
        <v>0</v>
      </c>
      <c r="AH15" s="6" t="str">
        <f aca="false">IF(AND(G15=AB15,IF(AND(ISNUMBER(H15),ISNUMBER(AC15)),ABS(N(H15)-N(AC15))&lt;=Settings!$B$9*MAX(1,ABS(N(AC15))),AND(H15="",AC15="")),IF(AND(ISNUMBER(J15),ISNUMBER(AD15)),ABS(N(J15)-N(AD15))&lt;=Settings!$B$9*MAX(1,ABS(N(AD15))),AND(J15="",AD15="")),IF(AND(ISNUMBER(K15),ISNUMBER(AE15)),ABS(N(K15)-N(AE15))&lt;=Settings!$B$9*MAX(1,ABS(N(AE15))),AND(K15="",AE15="")),L15=AF15,I15=AG15),"ok","CHECK")</f>
        <v>ok</v>
      </c>
      <c r="AI15" s="6" t="str">
        <f aca="false">IF(AND(IF(AND(ISNUMBER(O15),ISNUMBER(V15)),ABS(N(O15)-N(V15))&lt;=Settings!$B$9*MAX(1,ABS(N(V15))),AND(O15="",V15="")),IF(AND(ISNUMBER(P15),ISNUMBER(W15)),ABS(N(P15)-N(W15))&lt;=Settings!$B$9*MAX(1,ABS(N(W15))),AND(P15="",W15="")),IF(AND(ISNUMBER(Q15),ISNUMBER(X15)),ABS(N(Q15)-N(X15))&lt;=Settings!$B$9*MAX(1,ABS(N(X15))),AND(Q15="",X15="")),IF(AND(ISNUMBER(R15),ISNUMBER(Y15)),ABS(N(R15)-N(Y15))&lt;=Settings!$B$9*MAX(1,ABS(N(Y15))),AND(R15="",Y15="")),T15=Z15,IF(AND(ISNUMBER(U15),ISNUMBER(AA15)),ABS(N(U15)-N(AA15))&lt;=Settings!$B$9*MAX(1,ABS(N(AA15))),AND(U15="",AA15=""))),"ok","CHECK")</f>
        <v>ok</v>
      </c>
      <c r="AJ15" s="2"/>
      <c r="AK15" s="6" t="n">
        <f aca="false">IF(ISNUMBER(P15),1,0)</f>
        <v>0</v>
      </c>
      <c r="AL15" s="6" t="n">
        <f aca="false">COUNTIFS(Runs!$B$2:$B$61,B15,Runs!$E$2:$E$61,E15,Runs!$N$2:$N$61,N15,Runs!$AK$2:$AK$61,1)</f>
        <v>1</v>
      </c>
      <c r="AM15" s="6" t="str">
        <f aca="false">IF(AK15=1,AVERAGEIFS(Runs!$P$2:$P$61,Runs!$B$2:$B$61,B15,Runs!$E$2:$E$61,E15,Runs!$N$2:$N$61,N15,Runs!$AK$2:$AK$61,1),"")</f>
        <v/>
      </c>
      <c r="AN15" s="6" t="n">
        <f aca="false">IF(AK15=1,IF(AL15&gt;1,(P15-AM15)^2*AL15/(AL15-1),0),0)</f>
        <v>0</v>
      </c>
      <c r="AO15" s="6" t="n">
        <f aca="false">IF(ISNUMBER(R15),1,0)</f>
        <v>1</v>
      </c>
      <c r="AP15" s="6" t="n">
        <f aca="false">COUNTIFS(Runs!$B$2:$B$61,B15,Runs!$E$2:$E$61,E15,Runs!$N$2:$N$61,N15,Runs!$AO$2:$AO$61,1)</f>
        <v>2</v>
      </c>
      <c r="AQ15" s="6" t="n">
        <f aca="false">IF(AO15=1,AVERAGEIFS(Runs!$R$2:$R$61,Runs!$B$2:$B$61,B15,Runs!$E$2:$E$61,E15,Runs!$N$2:$N$61,N15,Runs!$AO$2:$AO$61,1),"")</f>
        <v>5</v>
      </c>
      <c r="AR15" s="6" t="n">
        <f aca="false">IF(AO15=1,IF(AP15&gt;1,(R15-AQ15)^2*AP15/(AP15-1),0),0)</f>
        <v>2</v>
      </c>
      <c r="AS15" s="6" t="n">
        <f aca="false">IF(ISNUMBER(J15),1,0)</f>
        <v>1</v>
      </c>
      <c r="AT15" s="6" t="n">
        <f aca="false">COUNTIFS(Runs!$B$2:$B$61,B15,Runs!$E$2:$E$61,E15,Runs!$N$2:$N$61,N15,Runs!$AS$2:$AS$61,1)</f>
        <v>2</v>
      </c>
      <c r="AU15" s="6" t="n">
        <f aca="false">IF(AS15=1,AVERAGEIFS(Runs!$J$2:$J$61,Runs!$B$2:$B$61,B15,Runs!$E$2:$E$61,E15,Runs!$N$2:$N$61,N15,Runs!$AS$2:$AS$61,1),"")</f>
        <v>0</v>
      </c>
      <c r="AV15" s="6" t="n">
        <f aca="false">IF(AS15=1,IF(AT15&gt;1,(J15-AU15)^2*AT15/(AT15-1),0),0)</f>
        <v>0</v>
      </c>
      <c r="AW15" s="6" t="n">
        <f aca="false">IF(ISNUMBER(Q15),1,0)</f>
        <v>0</v>
      </c>
      <c r="AX15" s="6" t="n">
        <f aca="false">COUNTIFS(Runs!$B$2:$B$61,B15,Runs!$E$2:$E$61,E15,Runs!$N$2:$N$61,N15,Runs!$AW$2:$AW$61,1)</f>
        <v>0</v>
      </c>
      <c r="AY15" s="6" t="str">
        <f aca="false">IF(AW15=1,AVERAGEIFS(Runs!$Q$2:$Q$61,Runs!$B$2:$B$61,B15,Runs!$E$2:$E$61,E15,Runs!$N$2:$N$61,N15,Runs!$AW$2:$AW$61,1),"")</f>
        <v/>
      </c>
      <c r="AZ15" s="6" t="n">
        <f aca="false">IF(AW15=1,IF(AX15&gt;1,(Q15-AY15)^2*AX15/(AX15-1),0),0)</f>
        <v>0</v>
      </c>
    </row>
    <row r="16" customFormat="false" ht="15" hidden="false" customHeight="false" outlineLevel="0" collapsed="false">
      <c r="A16" s="9" t="s">
        <v>128</v>
      </c>
      <c r="B16" s="9" t="s">
        <v>104</v>
      </c>
      <c r="C16" s="9" t="s">
        <v>105</v>
      </c>
      <c r="D16" s="9" t="s">
        <v>126</v>
      </c>
      <c r="E16" s="9" t="s">
        <v>111</v>
      </c>
      <c r="F16" s="9" t="n">
        <v>1</v>
      </c>
      <c r="G16" s="9" t="s">
        <v>129</v>
      </c>
      <c r="H16" s="9" t="n">
        <v>80</v>
      </c>
      <c r="I16" s="9" t="n">
        <v>1</v>
      </c>
      <c r="J16" s="9" t="n">
        <v>0.6875</v>
      </c>
      <c r="K16" s="9" t="n">
        <v>383</v>
      </c>
      <c r="L16" s="9" t="n">
        <v>1</v>
      </c>
      <c r="M16" s="9" t="n">
        <v>1</v>
      </c>
      <c r="N16" s="6" t="str">
        <f aca="false">C16&amp;"|"&amp;D16</f>
        <v>kanban-board|no_verification</v>
      </c>
      <c r="O16" s="6" t="n">
        <f aca="false">IF(G16="finished",0,1)</f>
        <v>1</v>
      </c>
      <c r="P16" s="6" t="str">
        <f aca="false">IF(O16=0,LN(H16),"")</f>
        <v/>
      </c>
      <c r="Q16" s="6" t="n">
        <f aca="false">IF(ISNUMBER(K16),IF(K16&gt;0,LN(K16),""),"")</f>
        <v>5.94803498918065</v>
      </c>
      <c r="R16" s="6" t="n">
        <f aca="false">IF(M16=1,INDEX(Quality!$AF:$AF,MATCH(A16,Quality!$A:$A,0)),"")</f>
        <v>84</v>
      </c>
      <c r="S16" s="6" t="n">
        <f aca="false">IF(R16="","",IF(T16=1,0,R16))</f>
        <v>84</v>
      </c>
      <c r="T16" s="6" t="n">
        <f aca="false">IF(M16=1,INDEX(Quality!$AG:$AG,MATCH(A16,Quality!$A:$A,0)),0)</f>
        <v>0</v>
      </c>
      <c r="U16" s="6" t="n">
        <f aca="false">IF(M16=1,INDEX(Quality!$AS:$AS,MATCH(A16,Quality!$A:$A,0)),"")</f>
        <v>0.8</v>
      </c>
      <c r="V16" s="9" t="n">
        <v>1</v>
      </c>
      <c r="W16" s="9"/>
      <c r="X16" s="9" t="n">
        <v>5.94803</v>
      </c>
      <c r="Y16" s="9" t="n">
        <v>84</v>
      </c>
      <c r="Z16" s="9" t="n">
        <v>0</v>
      </c>
      <c r="AA16" s="9" t="n">
        <v>0.8</v>
      </c>
      <c r="AB16" s="9" t="s">
        <v>129</v>
      </c>
      <c r="AC16" s="9" t="n">
        <v>80</v>
      </c>
      <c r="AD16" s="9" t="n">
        <v>0.6875</v>
      </c>
      <c r="AE16" s="9" t="n">
        <v>383</v>
      </c>
      <c r="AF16" s="9" t="n">
        <v>1</v>
      </c>
      <c r="AG16" s="9" t="n">
        <v>1</v>
      </c>
      <c r="AH16" s="6" t="str">
        <f aca="false">IF(AND(G16=AB16,IF(AND(ISNUMBER(H16),ISNUMBER(AC16)),ABS(N(H16)-N(AC16))&lt;=Settings!$B$9*MAX(1,ABS(N(AC16))),AND(H16="",AC16="")),IF(AND(ISNUMBER(J16),ISNUMBER(AD16)),ABS(N(J16)-N(AD16))&lt;=Settings!$B$9*MAX(1,ABS(N(AD16))),AND(J16="",AD16="")),IF(AND(ISNUMBER(K16),ISNUMBER(AE16)),ABS(N(K16)-N(AE16))&lt;=Settings!$B$9*MAX(1,ABS(N(AE16))),AND(K16="",AE16="")),L16=AF16,I16=AG16),"ok","CHECK")</f>
        <v>ok</v>
      </c>
      <c r="AI16" s="6" t="str">
        <f aca="false">IF(AND(IF(AND(ISNUMBER(O16),ISNUMBER(V16)),ABS(N(O16)-N(V16))&lt;=Settings!$B$9*MAX(1,ABS(N(V16))),AND(O16="",V16="")),IF(AND(ISNUMBER(P16),ISNUMBER(W16)),ABS(N(P16)-N(W16))&lt;=Settings!$B$9*MAX(1,ABS(N(W16))),AND(P16="",W16="")),IF(AND(ISNUMBER(Q16),ISNUMBER(X16)),ABS(N(Q16)-N(X16))&lt;=Settings!$B$9*MAX(1,ABS(N(X16))),AND(Q16="",X16="")),IF(AND(ISNUMBER(R16),ISNUMBER(Y16)),ABS(N(R16)-N(Y16))&lt;=Settings!$B$9*MAX(1,ABS(N(Y16))),AND(R16="",Y16="")),T16=Z16,IF(AND(ISNUMBER(U16),ISNUMBER(AA16)),ABS(N(U16)-N(AA16))&lt;=Settings!$B$9*MAX(1,ABS(N(AA16))),AND(U16="",AA16=""))),"ok","CHECK")</f>
        <v>ok</v>
      </c>
      <c r="AJ16" s="2"/>
      <c r="AK16" s="6" t="n">
        <f aca="false">IF(ISNUMBER(P16),1,0)</f>
        <v>0</v>
      </c>
      <c r="AL16" s="6" t="n">
        <f aca="false">COUNTIFS(Runs!$B$2:$B$61,B16,Runs!$E$2:$E$61,E16,Runs!$N$2:$N$61,N16,Runs!$AK$2:$AK$61,1)</f>
        <v>0</v>
      </c>
      <c r="AM16" s="6" t="str">
        <f aca="false">IF(AK16=1,AVERAGEIFS(Runs!$P$2:$P$61,Runs!$B$2:$B$61,B16,Runs!$E$2:$E$61,E16,Runs!$N$2:$N$61,N16,Runs!$AK$2:$AK$61,1),"")</f>
        <v/>
      </c>
      <c r="AN16" s="6" t="n">
        <f aca="false">IF(AK16=1,IF(AL16&gt;1,(P16-AM16)^2*AL16/(AL16-1),0),0)</f>
        <v>0</v>
      </c>
      <c r="AO16" s="6" t="n">
        <f aca="false">IF(ISNUMBER(R16),1,0)</f>
        <v>1</v>
      </c>
      <c r="AP16" s="6" t="n">
        <f aca="false">COUNTIFS(Runs!$B$2:$B$61,B16,Runs!$E$2:$E$61,E16,Runs!$N$2:$N$61,N16,Runs!$AO$2:$AO$61,1)</f>
        <v>2</v>
      </c>
      <c r="AQ16" s="6" t="n">
        <f aca="false">IF(AO16=1,AVERAGEIFS(Runs!$R$2:$R$61,Runs!$B$2:$B$61,B16,Runs!$E$2:$E$61,E16,Runs!$N$2:$N$61,N16,Runs!$AO$2:$AO$61,1),"")</f>
        <v>44</v>
      </c>
      <c r="AR16" s="6" t="n">
        <f aca="false">IF(AO16=1,IF(AP16&gt;1,(R16-AQ16)^2*AP16/(AP16-1),0),0)</f>
        <v>3200</v>
      </c>
      <c r="AS16" s="6" t="n">
        <f aca="false">IF(ISNUMBER(J16),1,0)</f>
        <v>1</v>
      </c>
      <c r="AT16" s="6" t="n">
        <f aca="false">COUNTIFS(Runs!$B$2:$B$61,B16,Runs!$E$2:$E$61,E16,Runs!$N$2:$N$61,N16,Runs!$AS$2:$AS$61,1)</f>
        <v>2</v>
      </c>
      <c r="AU16" s="6" t="n">
        <f aca="false">IF(AS16=1,AVERAGEIFS(Runs!$J$2:$J$61,Runs!$B$2:$B$61,B16,Runs!$E$2:$E$61,E16,Runs!$N$2:$N$61,N16,Runs!$AS$2:$AS$61,1),"")</f>
        <v>0.724347</v>
      </c>
      <c r="AV16" s="6" t="n">
        <f aca="false">IF(AS16=1,IF(AT16&gt;1,(J16-AU16)^2*AT16/(AT16-1),0),0)</f>
        <v>0.00271540281800001</v>
      </c>
      <c r="AW16" s="6" t="n">
        <f aca="false">IF(ISNUMBER(Q16),1,0)</f>
        <v>1</v>
      </c>
      <c r="AX16" s="6" t="n">
        <f aca="false">COUNTIFS(Runs!$B$2:$B$61,B16,Runs!$E$2:$E$61,E16,Runs!$N$2:$N$61,N16,Runs!$AW$2:$AW$61,1)</f>
        <v>2</v>
      </c>
      <c r="AY16" s="6" t="n">
        <f aca="false">IF(AW16=1,AVERAGEIFS(Runs!$Q$2:$Q$61,Runs!$B$2:$B$61,B16,Runs!$E$2:$E$61,E16,Runs!$N$2:$N$61,N16,Runs!$AW$2:$AW$61,1),"")</f>
        <v>5.93076899740946</v>
      </c>
      <c r="AZ16" s="6" t="n">
        <f aca="false">IF(AW16=1,IF(AX16&gt;1,(Q16-AY16)^2*AX16/(AX16-1),0),0)</f>
        <v>0.000596228943685458</v>
      </c>
    </row>
    <row r="17" customFormat="false" ht="15" hidden="false" customHeight="false" outlineLevel="0" collapsed="false">
      <c r="A17" s="9" t="s">
        <v>130</v>
      </c>
      <c r="B17" s="9" t="s">
        <v>104</v>
      </c>
      <c r="C17" s="9" t="s">
        <v>105</v>
      </c>
      <c r="D17" s="9" t="s">
        <v>126</v>
      </c>
      <c r="E17" s="9" t="s">
        <v>111</v>
      </c>
      <c r="F17" s="9" t="n">
        <v>2</v>
      </c>
      <c r="G17" s="9" t="s">
        <v>131</v>
      </c>
      <c r="H17" s="9" t="n">
        <v>67</v>
      </c>
      <c r="I17" s="9" t="n">
        <v>0</v>
      </c>
      <c r="J17" s="9" t="n">
        <v>0.761194</v>
      </c>
      <c r="K17" s="9" t="n">
        <v>370</v>
      </c>
      <c r="L17" s="9" t="n">
        <v>0</v>
      </c>
      <c r="M17" s="9" t="n">
        <v>1</v>
      </c>
      <c r="N17" s="6" t="str">
        <f aca="false">C17&amp;"|"&amp;D17</f>
        <v>kanban-board|no_verification</v>
      </c>
      <c r="O17" s="6" t="n">
        <f aca="false">IF(G17="finished",0,1)</f>
        <v>1</v>
      </c>
      <c r="P17" s="6" t="str">
        <f aca="false">IF(O17=0,LN(H17),"")</f>
        <v/>
      </c>
      <c r="Q17" s="6" t="n">
        <f aca="false">IF(ISNUMBER(K17),IF(K17&gt;0,LN(K17),""),"")</f>
        <v>5.91350300563827</v>
      </c>
      <c r="R17" s="6" t="n">
        <f aca="false">IF(M17=1,INDEX(Quality!$AF:$AF,MATCH(A17,Quality!$A:$A,0)),"")</f>
        <v>4</v>
      </c>
      <c r="S17" s="6" t="n">
        <f aca="false">IF(R17="","",IF(T17=1,0,R17))</f>
        <v>0</v>
      </c>
      <c r="T17" s="6" t="n">
        <f aca="false">IF(M17=1,INDEX(Quality!$AG:$AG,MATCH(A17,Quality!$A:$A,0)),0)</f>
        <v>1</v>
      </c>
      <c r="U17" s="6" t="n">
        <f aca="false">IF(M17=1,INDEX(Quality!$AS:$AS,MATCH(A17,Quality!$A:$A,0)),"")</f>
        <v>0.4</v>
      </c>
      <c r="V17" s="9" t="n">
        <v>1</v>
      </c>
      <c r="W17" s="9"/>
      <c r="X17" s="9" t="n">
        <v>5.9135</v>
      </c>
      <c r="Y17" s="9" t="n">
        <v>4</v>
      </c>
      <c r="Z17" s="9" t="n">
        <v>1</v>
      </c>
      <c r="AA17" s="9" t="n">
        <v>0.4</v>
      </c>
      <c r="AB17" s="9" t="s">
        <v>131</v>
      </c>
      <c r="AC17" s="9" t="n">
        <v>67</v>
      </c>
      <c r="AD17" s="9" t="n">
        <v>0.761194029850746</v>
      </c>
      <c r="AE17" s="9" t="n">
        <v>370</v>
      </c>
      <c r="AF17" s="9" t="n">
        <v>0</v>
      </c>
      <c r="AG17" s="9" t="n">
        <v>0</v>
      </c>
      <c r="AH17" s="6" t="str">
        <f aca="false">IF(AND(G17=AB17,IF(AND(ISNUMBER(H17),ISNUMBER(AC17)),ABS(N(H17)-N(AC17))&lt;=Settings!$B$9*MAX(1,ABS(N(AC17))),AND(H17="",AC17="")),IF(AND(ISNUMBER(J17),ISNUMBER(AD17)),ABS(N(J17)-N(AD17))&lt;=Settings!$B$9*MAX(1,ABS(N(AD17))),AND(J17="",AD17="")),IF(AND(ISNUMBER(K17),ISNUMBER(AE17)),ABS(N(K17)-N(AE17))&lt;=Settings!$B$9*MAX(1,ABS(N(AE17))),AND(K17="",AE17="")),L17=AF17,I17=AG17),"ok","CHECK")</f>
        <v>ok</v>
      </c>
      <c r="AI17" s="6" t="str">
        <f aca="false">IF(AND(IF(AND(ISNUMBER(O17),ISNUMBER(V17)),ABS(N(O17)-N(V17))&lt;=Settings!$B$9*MAX(1,ABS(N(V17))),AND(O17="",V17="")),IF(AND(ISNUMBER(P17),ISNUMBER(W17)),ABS(N(P17)-N(W17))&lt;=Settings!$B$9*MAX(1,ABS(N(W17))),AND(P17="",W17="")),IF(AND(ISNUMBER(Q17),ISNUMBER(X17)),ABS(N(Q17)-N(X17))&lt;=Settings!$B$9*MAX(1,ABS(N(X17))),AND(Q17="",X17="")),IF(AND(ISNUMBER(R17),ISNUMBER(Y17)),ABS(N(R17)-N(Y17))&lt;=Settings!$B$9*MAX(1,ABS(N(Y17))),AND(R17="",Y17="")),T17=Z17,IF(AND(ISNUMBER(U17),ISNUMBER(AA17)),ABS(N(U17)-N(AA17))&lt;=Settings!$B$9*MAX(1,ABS(N(AA17))),AND(U17="",AA17=""))),"ok","CHECK")</f>
        <v>ok</v>
      </c>
      <c r="AJ17" s="2"/>
      <c r="AK17" s="6" t="n">
        <f aca="false">IF(ISNUMBER(P17),1,0)</f>
        <v>0</v>
      </c>
      <c r="AL17" s="6" t="n">
        <f aca="false">COUNTIFS(Runs!$B$2:$B$61,B17,Runs!$E$2:$E$61,E17,Runs!$N$2:$N$61,N17,Runs!$AK$2:$AK$61,1)</f>
        <v>0</v>
      </c>
      <c r="AM17" s="6" t="str">
        <f aca="false">IF(AK17=1,AVERAGEIFS(Runs!$P$2:$P$61,Runs!$B$2:$B$61,B17,Runs!$E$2:$E$61,E17,Runs!$N$2:$N$61,N17,Runs!$AK$2:$AK$61,1),"")</f>
        <v/>
      </c>
      <c r="AN17" s="6" t="n">
        <f aca="false">IF(AK17=1,IF(AL17&gt;1,(P17-AM17)^2*AL17/(AL17-1),0),0)</f>
        <v>0</v>
      </c>
      <c r="AO17" s="6" t="n">
        <f aca="false">IF(ISNUMBER(R17),1,0)</f>
        <v>1</v>
      </c>
      <c r="AP17" s="6" t="n">
        <f aca="false">COUNTIFS(Runs!$B$2:$B$61,B17,Runs!$E$2:$E$61,E17,Runs!$N$2:$N$61,N17,Runs!$AO$2:$AO$61,1)</f>
        <v>2</v>
      </c>
      <c r="AQ17" s="6" t="n">
        <f aca="false">IF(AO17=1,AVERAGEIFS(Runs!$R$2:$R$61,Runs!$B$2:$B$61,B17,Runs!$E$2:$E$61,E17,Runs!$N$2:$N$61,N17,Runs!$AO$2:$AO$61,1),"")</f>
        <v>44</v>
      </c>
      <c r="AR17" s="6" t="n">
        <f aca="false">IF(AO17=1,IF(AP17&gt;1,(R17-AQ17)^2*AP17/(AP17-1),0),0)</f>
        <v>3200</v>
      </c>
      <c r="AS17" s="6" t="n">
        <f aca="false">IF(ISNUMBER(J17),1,0)</f>
        <v>1</v>
      </c>
      <c r="AT17" s="6" t="n">
        <f aca="false">COUNTIFS(Runs!$B$2:$B$61,B17,Runs!$E$2:$E$61,E17,Runs!$N$2:$N$61,N17,Runs!$AS$2:$AS$61,1)</f>
        <v>2</v>
      </c>
      <c r="AU17" s="6" t="n">
        <f aca="false">IF(AS17=1,AVERAGEIFS(Runs!$J$2:$J$61,Runs!$B$2:$B$61,B17,Runs!$E$2:$E$61,E17,Runs!$N$2:$N$61,N17,Runs!$AS$2:$AS$61,1),"")</f>
        <v>0.724347</v>
      </c>
      <c r="AV17" s="6" t="n">
        <f aca="false">IF(AS17=1,IF(AT17&gt;1,(J17-AU17)^2*AT17/(AT17-1),0),0)</f>
        <v>0.00271540281799999</v>
      </c>
      <c r="AW17" s="6" t="n">
        <f aca="false">IF(ISNUMBER(Q17),1,0)</f>
        <v>1</v>
      </c>
      <c r="AX17" s="6" t="n">
        <f aca="false">COUNTIFS(Runs!$B$2:$B$61,B17,Runs!$E$2:$E$61,E17,Runs!$N$2:$N$61,N17,Runs!$AW$2:$AW$61,1)</f>
        <v>2</v>
      </c>
      <c r="AY17" s="6" t="n">
        <f aca="false">IF(AW17=1,AVERAGEIFS(Runs!$Q$2:$Q$61,Runs!$B$2:$B$61,B17,Runs!$E$2:$E$61,E17,Runs!$N$2:$N$61,N17,Runs!$AW$2:$AW$61,1),"")</f>
        <v>5.93076899740946</v>
      </c>
      <c r="AZ17" s="6" t="n">
        <f aca="false">IF(AW17=1,IF(AX17&gt;1,(Q17-AY17)^2*AX17/(AX17-1),0),0)</f>
        <v>0.000596228943685458</v>
      </c>
    </row>
    <row r="18" customFormat="false" ht="15" hidden="false" customHeight="false" outlineLevel="0" collapsed="false">
      <c r="A18" s="9" t="s">
        <v>132</v>
      </c>
      <c r="B18" s="9" t="s">
        <v>104</v>
      </c>
      <c r="C18" s="9" t="s">
        <v>105</v>
      </c>
      <c r="D18" s="9" t="s">
        <v>126</v>
      </c>
      <c r="E18" s="9" t="s">
        <v>115</v>
      </c>
      <c r="F18" s="9" t="n">
        <v>1</v>
      </c>
      <c r="G18" s="9" t="s">
        <v>121</v>
      </c>
      <c r="H18" s="9" t="n">
        <v>31</v>
      </c>
      <c r="I18" s="9" t="n">
        <v>0</v>
      </c>
      <c r="J18" s="9" t="n">
        <v>0.967742</v>
      </c>
      <c r="K18" s="9" t="n">
        <v>116</v>
      </c>
      <c r="L18" s="9" t="n">
        <v>0</v>
      </c>
      <c r="M18" s="9" t="n">
        <v>1</v>
      </c>
      <c r="N18" s="6" t="str">
        <f aca="false">C18&amp;"|"&amp;D18</f>
        <v>kanban-board|no_verification</v>
      </c>
      <c r="O18" s="6" t="n">
        <f aca="false">IF(G18="finished",0,1)</f>
        <v>1</v>
      </c>
      <c r="P18" s="6" t="str">
        <f aca="false">IF(O18=0,LN(H18),"")</f>
        <v/>
      </c>
      <c r="Q18" s="6" t="n">
        <f aca="false">IF(ISNUMBER(K18),IF(K18&gt;0,LN(K18),""),"")</f>
        <v>4.75359019110636</v>
      </c>
      <c r="R18" s="6" t="n">
        <f aca="false">IF(M18=1,INDEX(Quality!$AF:$AF,MATCH(A18,Quality!$A:$A,0)),"")</f>
        <v>90</v>
      </c>
      <c r="S18" s="6" t="n">
        <f aca="false">IF(R18="","",IF(T18=1,0,R18))</f>
        <v>0</v>
      </c>
      <c r="T18" s="6" t="n">
        <f aca="false">IF(M18=1,INDEX(Quality!$AG:$AG,MATCH(A18,Quality!$A:$A,0)),0)</f>
        <v>1</v>
      </c>
      <c r="U18" s="6" t="n">
        <f aca="false">IF(M18=1,INDEX(Quality!$AS:$AS,MATCH(A18,Quality!$A:$A,0)),"")</f>
        <v>0.8</v>
      </c>
      <c r="V18" s="9" t="n">
        <v>1</v>
      </c>
      <c r="W18" s="9"/>
      <c r="X18" s="9" t="n">
        <v>4.75359</v>
      </c>
      <c r="Y18" s="9" t="n">
        <v>90</v>
      </c>
      <c r="Z18" s="9" t="n">
        <v>1</v>
      </c>
      <c r="AA18" s="9" t="n">
        <v>0.8</v>
      </c>
      <c r="AB18" s="9" t="s">
        <v>121</v>
      </c>
      <c r="AC18" s="9" t="n">
        <v>31</v>
      </c>
      <c r="AD18" s="9" t="n">
        <v>0.967741935483871</v>
      </c>
      <c r="AE18" s="9" t="n">
        <v>116</v>
      </c>
      <c r="AF18" s="9" t="n">
        <v>0</v>
      </c>
      <c r="AG18" s="9" t="n">
        <v>0</v>
      </c>
      <c r="AH18" s="6" t="str">
        <f aca="false">IF(AND(G18=AB18,IF(AND(ISNUMBER(H18),ISNUMBER(AC18)),ABS(N(H18)-N(AC18))&lt;=Settings!$B$9*MAX(1,ABS(N(AC18))),AND(H18="",AC18="")),IF(AND(ISNUMBER(J18),ISNUMBER(AD18)),ABS(N(J18)-N(AD18))&lt;=Settings!$B$9*MAX(1,ABS(N(AD18))),AND(J18="",AD18="")),IF(AND(ISNUMBER(K18),ISNUMBER(AE18)),ABS(N(K18)-N(AE18))&lt;=Settings!$B$9*MAX(1,ABS(N(AE18))),AND(K18="",AE18="")),L18=AF18,I18=AG18),"ok","CHECK")</f>
        <v>ok</v>
      </c>
      <c r="AI18" s="6" t="str">
        <f aca="false">IF(AND(IF(AND(ISNUMBER(O18),ISNUMBER(V18)),ABS(N(O18)-N(V18))&lt;=Settings!$B$9*MAX(1,ABS(N(V18))),AND(O18="",V18="")),IF(AND(ISNUMBER(P18),ISNUMBER(W18)),ABS(N(P18)-N(W18))&lt;=Settings!$B$9*MAX(1,ABS(N(W18))),AND(P18="",W18="")),IF(AND(ISNUMBER(Q18),ISNUMBER(X18)),ABS(N(Q18)-N(X18))&lt;=Settings!$B$9*MAX(1,ABS(N(X18))),AND(Q18="",X18="")),IF(AND(ISNUMBER(R18),ISNUMBER(Y18)),ABS(N(R18)-N(Y18))&lt;=Settings!$B$9*MAX(1,ABS(N(Y18))),AND(R18="",Y18="")),T18=Z18,IF(AND(ISNUMBER(U18),ISNUMBER(AA18)),ABS(N(U18)-N(AA18))&lt;=Settings!$B$9*MAX(1,ABS(N(AA18))),AND(U18="",AA18=""))),"ok","CHECK")</f>
        <v>ok</v>
      </c>
      <c r="AJ18" s="2"/>
      <c r="AK18" s="6" t="n">
        <f aca="false">IF(ISNUMBER(P18),1,0)</f>
        <v>0</v>
      </c>
      <c r="AL18" s="6" t="n">
        <f aca="false">COUNTIFS(Runs!$B$2:$B$61,B18,Runs!$E$2:$E$61,E18,Runs!$N$2:$N$61,N18,Runs!$AK$2:$AK$61,1)</f>
        <v>1</v>
      </c>
      <c r="AM18" s="6" t="str">
        <f aca="false">IF(AK18=1,AVERAGEIFS(Runs!$P$2:$P$61,Runs!$B$2:$B$61,B18,Runs!$E$2:$E$61,E18,Runs!$N$2:$N$61,N18,Runs!$AK$2:$AK$61,1),"")</f>
        <v/>
      </c>
      <c r="AN18" s="6" t="n">
        <f aca="false">IF(AK18=1,IF(AL18&gt;1,(P18-AM18)^2*AL18/(AL18-1),0),0)</f>
        <v>0</v>
      </c>
      <c r="AO18" s="6" t="n">
        <f aca="false">IF(ISNUMBER(R18),1,0)</f>
        <v>1</v>
      </c>
      <c r="AP18" s="6" t="n">
        <f aca="false">COUNTIFS(Runs!$B$2:$B$61,B18,Runs!$E$2:$E$61,E18,Runs!$N$2:$N$61,N18,Runs!$AO$2:$AO$61,1)</f>
        <v>2</v>
      </c>
      <c r="AQ18" s="6" t="n">
        <f aca="false">IF(AO18=1,AVERAGEIFS(Runs!$R$2:$R$61,Runs!$B$2:$B$61,B18,Runs!$E$2:$E$61,E18,Runs!$N$2:$N$61,N18,Runs!$AO$2:$AO$61,1),"")</f>
        <v>91</v>
      </c>
      <c r="AR18" s="6" t="n">
        <f aca="false">IF(AO18=1,IF(AP18&gt;1,(R18-AQ18)^2*AP18/(AP18-1),0),0)</f>
        <v>2</v>
      </c>
      <c r="AS18" s="6" t="n">
        <f aca="false">IF(ISNUMBER(J18),1,0)</f>
        <v>1</v>
      </c>
      <c r="AT18" s="6" t="n">
        <f aca="false">COUNTIFS(Runs!$B$2:$B$61,B18,Runs!$E$2:$E$61,E18,Runs!$N$2:$N$61,N18,Runs!$AS$2:$AS$61,1)</f>
        <v>2</v>
      </c>
      <c r="AU18" s="6" t="n">
        <f aca="false">IF(AS18=1,AVERAGEIFS(Runs!$J$2:$J$61,Runs!$B$2:$B$61,B18,Runs!$E$2:$E$61,E18,Runs!$N$2:$N$61,N18,Runs!$AS$2:$AS$61,1),"")</f>
        <v>0.983871</v>
      </c>
      <c r="AV18" s="6" t="n">
        <f aca="false">IF(AS18=1,IF(AT18&gt;1,(J18-AU18)^2*AT18/(AT18-1),0),0)</f>
        <v>0.000520289281999997</v>
      </c>
      <c r="AW18" s="6" t="n">
        <f aca="false">IF(ISNUMBER(Q18),1,0)</f>
        <v>1</v>
      </c>
      <c r="AX18" s="6" t="n">
        <f aca="false">COUNTIFS(Runs!$B$2:$B$61,B18,Runs!$E$2:$E$61,E18,Runs!$N$2:$N$61,N18,Runs!$AW$2:$AW$61,1)</f>
        <v>2</v>
      </c>
      <c r="AY18" s="6" t="n">
        <f aca="false">IF(AW18=1,AVERAGEIFS(Runs!$Q$2:$Q$61,Runs!$B$2:$B$61,B18,Runs!$E$2:$E$61,E18,Runs!$N$2:$N$61,N18,Runs!$AW$2:$AW$61,1),"")</f>
        <v>4.87876824852591</v>
      </c>
      <c r="AZ18" s="6" t="n">
        <f aca="false">IF(AW18=1,IF(AX18&gt;1,(Q18-AY18)^2*AX18/(AX18-1),0),0)</f>
        <v>0.031339092118663</v>
      </c>
    </row>
    <row r="19" customFormat="false" ht="15" hidden="false" customHeight="false" outlineLevel="0" collapsed="false">
      <c r="A19" s="9" t="s">
        <v>133</v>
      </c>
      <c r="B19" s="9" t="s">
        <v>104</v>
      </c>
      <c r="C19" s="9" t="s">
        <v>105</v>
      </c>
      <c r="D19" s="9" t="s">
        <v>126</v>
      </c>
      <c r="E19" s="9" t="s">
        <v>115</v>
      </c>
      <c r="F19" s="9" t="n">
        <v>2</v>
      </c>
      <c r="G19" s="9" t="s">
        <v>108</v>
      </c>
      <c r="H19" s="9" t="n">
        <v>41</v>
      </c>
      <c r="I19" s="9" t="n">
        <v>0</v>
      </c>
      <c r="J19" s="9" t="n">
        <v>1</v>
      </c>
      <c r="K19" s="9" t="n">
        <v>149</v>
      </c>
      <c r="L19" s="9" t="n">
        <v>0</v>
      </c>
      <c r="M19" s="9" t="n">
        <v>1</v>
      </c>
      <c r="N19" s="6" t="str">
        <f aca="false">C19&amp;"|"&amp;D19</f>
        <v>kanban-board|no_verification</v>
      </c>
      <c r="O19" s="6" t="n">
        <f aca="false">IF(G19="finished",0,1)</f>
        <v>0</v>
      </c>
      <c r="P19" s="6" t="n">
        <f aca="false">IF(O19=0,LN(H19),"")</f>
        <v>3.71357206670431</v>
      </c>
      <c r="Q19" s="6" t="n">
        <f aca="false">IF(ISNUMBER(K19),IF(K19&gt;0,LN(K19),""),"")</f>
        <v>5.00394630594546</v>
      </c>
      <c r="R19" s="6" t="n">
        <f aca="false">IF(M19=1,INDEX(Quality!$AF:$AF,MATCH(A19,Quality!$A:$A,0)),"")</f>
        <v>92</v>
      </c>
      <c r="S19" s="6" t="n">
        <f aca="false">IF(R19="","",IF(T19=1,0,R19))</f>
        <v>92</v>
      </c>
      <c r="T19" s="6" t="n">
        <f aca="false">IF(M19=1,INDEX(Quality!$AG:$AG,MATCH(A19,Quality!$A:$A,0)),0)</f>
        <v>0</v>
      </c>
      <c r="U19" s="6" t="n">
        <f aca="false">IF(M19=1,INDEX(Quality!$AS:$AS,MATCH(A19,Quality!$A:$A,0)),"")</f>
        <v>0.4</v>
      </c>
      <c r="V19" s="9" t="n">
        <v>0</v>
      </c>
      <c r="W19" s="9" t="n">
        <v>3.71357</v>
      </c>
      <c r="X19" s="9" t="n">
        <v>5.00395</v>
      </c>
      <c r="Y19" s="9" t="n">
        <v>92</v>
      </c>
      <c r="Z19" s="9" t="n">
        <v>0</v>
      </c>
      <c r="AA19" s="9" t="n">
        <v>0.4</v>
      </c>
      <c r="AB19" s="9" t="s">
        <v>108</v>
      </c>
      <c r="AC19" s="9" t="n">
        <v>41</v>
      </c>
      <c r="AD19" s="9" t="n">
        <v>1</v>
      </c>
      <c r="AE19" s="9" t="n">
        <v>149</v>
      </c>
      <c r="AF19" s="9" t="n">
        <v>0</v>
      </c>
      <c r="AG19" s="9" t="n">
        <v>0</v>
      </c>
      <c r="AH19" s="6" t="str">
        <f aca="false">IF(AND(G19=AB19,IF(AND(ISNUMBER(H19),ISNUMBER(AC19)),ABS(N(H19)-N(AC19))&lt;=Settings!$B$9*MAX(1,ABS(N(AC19))),AND(H19="",AC19="")),IF(AND(ISNUMBER(J19),ISNUMBER(AD19)),ABS(N(J19)-N(AD19))&lt;=Settings!$B$9*MAX(1,ABS(N(AD19))),AND(J19="",AD19="")),IF(AND(ISNUMBER(K19),ISNUMBER(AE19)),ABS(N(K19)-N(AE19))&lt;=Settings!$B$9*MAX(1,ABS(N(AE19))),AND(K19="",AE19="")),L19=AF19,I19=AG19),"ok","CHECK")</f>
        <v>ok</v>
      </c>
      <c r="AI19" s="6" t="str">
        <f aca="false">IF(AND(IF(AND(ISNUMBER(O19),ISNUMBER(V19)),ABS(N(O19)-N(V19))&lt;=Settings!$B$9*MAX(1,ABS(N(V19))),AND(O19="",V19="")),IF(AND(ISNUMBER(P19),ISNUMBER(W19)),ABS(N(P19)-N(W19))&lt;=Settings!$B$9*MAX(1,ABS(N(W19))),AND(P19="",W19="")),IF(AND(ISNUMBER(Q19),ISNUMBER(X19)),ABS(N(Q19)-N(X19))&lt;=Settings!$B$9*MAX(1,ABS(N(X19))),AND(Q19="",X19="")),IF(AND(ISNUMBER(R19),ISNUMBER(Y19)),ABS(N(R19)-N(Y19))&lt;=Settings!$B$9*MAX(1,ABS(N(Y19))),AND(R19="",Y19="")),T19=Z19,IF(AND(ISNUMBER(U19),ISNUMBER(AA19)),ABS(N(U19)-N(AA19))&lt;=Settings!$B$9*MAX(1,ABS(N(AA19))),AND(U19="",AA19=""))),"ok","CHECK")</f>
        <v>ok</v>
      </c>
      <c r="AJ19" s="2"/>
      <c r="AK19" s="6" t="n">
        <f aca="false">IF(ISNUMBER(P19),1,0)</f>
        <v>1</v>
      </c>
      <c r="AL19" s="6" t="n">
        <f aca="false">COUNTIFS(Runs!$B$2:$B$61,B19,Runs!$E$2:$E$61,E19,Runs!$N$2:$N$61,N19,Runs!$AK$2:$AK$61,1)</f>
        <v>1</v>
      </c>
      <c r="AM19" s="6" t="n">
        <f aca="false">IF(AK19=1,AVERAGEIFS(Runs!$P$2:$P$61,Runs!$B$2:$B$61,B19,Runs!$E$2:$E$61,E19,Runs!$N$2:$N$61,N19,Runs!$AK$2:$AK$61,1),"")</f>
        <v>3.71357206670431</v>
      </c>
      <c r="AN19" s="6" t="n">
        <f aca="false">IF(AK19=1,IF(AL19&gt;1,(P19-AM19)^2*AL19/(AL19-1),0),0)</f>
        <v>0</v>
      </c>
      <c r="AO19" s="6" t="n">
        <f aca="false">IF(ISNUMBER(R19),1,0)</f>
        <v>1</v>
      </c>
      <c r="AP19" s="6" t="n">
        <f aca="false">COUNTIFS(Runs!$B$2:$B$61,B19,Runs!$E$2:$E$61,E19,Runs!$N$2:$N$61,N19,Runs!$AO$2:$AO$61,1)</f>
        <v>2</v>
      </c>
      <c r="AQ19" s="6" t="n">
        <f aca="false">IF(AO19=1,AVERAGEIFS(Runs!$R$2:$R$61,Runs!$B$2:$B$61,B19,Runs!$E$2:$E$61,E19,Runs!$N$2:$N$61,N19,Runs!$AO$2:$AO$61,1),"")</f>
        <v>91</v>
      </c>
      <c r="AR19" s="6" t="n">
        <f aca="false">IF(AO19=1,IF(AP19&gt;1,(R19-AQ19)^2*AP19/(AP19-1),0),0)</f>
        <v>2</v>
      </c>
      <c r="AS19" s="6" t="n">
        <f aca="false">IF(ISNUMBER(J19),1,0)</f>
        <v>1</v>
      </c>
      <c r="AT19" s="6" t="n">
        <f aca="false">COUNTIFS(Runs!$B$2:$B$61,B19,Runs!$E$2:$E$61,E19,Runs!$N$2:$N$61,N19,Runs!$AS$2:$AS$61,1)</f>
        <v>2</v>
      </c>
      <c r="AU19" s="6" t="n">
        <f aca="false">IF(AS19=1,AVERAGEIFS(Runs!$J$2:$J$61,Runs!$B$2:$B$61,B19,Runs!$E$2:$E$61,E19,Runs!$N$2:$N$61,N19,Runs!$AS$2:$AS$61,1),"")</f>
        <v>0.983871</v>
      </c>
      <c r="AV19" s="6" t="n">
        <f aca="false">IF(AS19=1,IF(AT19&gt;1,(J19-AU19)^2*AT19/(AT19-1),0),0)</f>
        <v>0.000520289282000004</v>
      </c>
      <c r="AW19" s="6" t="n">
        <f aca="false">IF(ISNUMBER(Q19),1,0)</f>
        <v>1</v>
      </c>
      <c r="AX19" s="6" t="n">
        <f aca="false">COUNTIFS(Runs!$B$2:$B$61,B19,Runs!$E$2:$E$61,E19,Runs!$N$2:$N$61,N19,Runs!$AW$2:$AW$61,1)</f>
        <v>2</v>
      </c>
      <c r="AY19" s="6" t="n">
        <f aca="false">IF(AW19=1,AVERAGEIFS(Runs!$Q$2:$Q$61,Runs!$B$2:$B$61,B19,Runs!$E$2:$E$61,E19,Runs!$N$2:$N$61,N19,Runs!$AW$2:$AW$61,1),"")</f>
        <v>4.87876824852591</v>
      </c>
      <c r="AZ19" s="6" t="n">
        <f aca="false">IF(AW19=1,IF(AX19&gt;1,(Q19-AY19)^2*AX19/(AX19-1),0),0)</f>
        <v>0.031339092118663</v>
      </c>
    </row>
    <row r="20" customFormat="false" ht="15" hidden="false" customHeight="false" outlineLevel="0" collapsed="false">
      <c r="A20" s="9" t="s">
        <v>134</v>
      </c>
      <c r="B20" s="9" t="s">
        <v>104</v>
      </c>
      <c r="C20" s="9" t="s">
        <v>135</v>
      </c>
      <c r="D20" s="9" t="s">
        <v>106</v>
      </c>
      <c r="E20" s="9" t="s">
        <v>107</v>
      </c>
      <c r="F20" s="9" t="n">
        <v>1</v>
      </c>
      <c r="G20" s="9" t="s">
        <v>108</v>
      </c>
      <c r="H20" s="9" t="n">
        <v>95</v>
      </c>
      <c r="I20" s="9" t="n">
        <v>1</v>
      </c>
      <c r="J20" s="9" t="n">
        <v>0</v>
      </c>
      <c r="K20" s="9"/>
      <c r="L20" s="9" t="n">
        <v>1</v>
      </c>
      <c r="M20" s="9" t="n">
        <v>1</v>
      </c>
      <c r="N20" s="6" t="str">
        <f aca="false">C20&amp;"|"&amp;D20</f>
        <v>message-board|execution</v>
      </c>
      <c r="O20" s="6" t="n">
        <f aca="false">IF(G20="finished",0,1)</f>
        <v>0</v>
      </c>
      <c r="P20" s="6" t="n">
        <f aca="false">IF(O20=0,LN(H20),"")</f>
        <v>4.55387689160054</v>
      </c>
      <c r="Q20" s="6" t="str">
        <f aca="false">IF(ISNUMBER(K20),IF(K20&gt;0,LN(K20),""),"")</f>
        <v/>
      </c>
      <c r="R20" s="6" t="n">
        <f aca="false">IF(M20=1,INDEX(Quality!$AF:$AF,MATCH(A20,Quality!$A:$A,0)),"")</f>
        <v>96.3</v>
      </c>
      <c r="S20" s="6" t="n">
        <f aca="false">IF(R20="","",IF(T20=1,0,R20))</f>
        <v>0</v>
      </c>
      <c r="T20" s="6" t="n">
        <f aca="false">IF(M20=1,INDEX(Quality!$AG:$AG,MATCH(A20,Quality!$A:$A,0)),0)</f>
        <v>1</v>
      </c>
      <c r="U20" s="6" t="n">
        <f aca="false">IF(M20=1,INDEX(Quality!$AS:$AS,MATCH(A20,Quality!$A:$A,0)),"")</f>
        <v>0.75</v>
      </c>
      <c r="V20" s="9" t="n">
        <v>0</v>
      </c>
      <c r="W20" s="9" t="n">
        <v>4.55388</v>
      </c>
      <c r="X20" s="9"/>
      <c r="Y20" s="9" t="n">
        <v>96.3</v>
      </c>
      <c r="Z20" s="9" t="n">
        <v>1</v>
      </c>
      <c r="AA20" s="9" t="n">
        <v>0.75</v>
      </c>
      <c r="AB20" s="9" t="s">
        <v>108</v>
      </c>
      <c r="AC20" s="9" t="n">
        <v>95</v>
      </c>
      <c r="AD20" s="9" t="n">
        <v>0</v>
      </c>
      <c r="AE20" s="9"/>
      <c r="AF20" s="9" t="n">
        <v>1</v>
      </c>
      <c r="AG20" s="9" t="n">
        <v>1</v>
      </c>
      <c r="AH20" s="6" t="str">
        <f aca="false">IF(AND(G20=AB20,IF(AND(ISNUMBER(H20),ISNUMBER(AC20)),ABS(N(H20)-N(AC20))&lt;=Settings!$B$9*MAX(1,ABS(N(AC20))),AND(H20="",AC20="")),IF(AND(ISNUMBER(J20),ISNUMBER(AD20)),ABS(N(J20)-N(AD20))&lt;=Settings!$B$9*MAX(1,ABS(N(AD20))),AND(J20="",AD20="")),IF(AND(ISNUMBER(K20),ISNUMBER(AE20)),ABS(N(K20)-N(AE20))&lt;=Settings!$B$9*MAX(1,ABS(N(AE20))),AND(K20="",AE20="")),L20=AF20,I20=AG20),"ok","CHECK")</f>
        <v>ok</v>
      </c>
      <c r="AI20" s="6" t="str">
        <f aca="false">IF(AND(IF(AND(ISNUMBER(O20),ISNUMBER(V20)),ABS(N(O20)-N(V20))&lt;=Settings!$B$9*MAX(1,ABS(N(V20))),AND(O20="",V20="")),IF(AND(ISNUMBER(P20),ISNUMBER(W20)),ABS(N(P20)-N(W20))&lt;=Settings!$B$9*MAX(1,ABS(N(W20))),AND(P20="",W20="")),IF(AND(ISNUMBER(Q20),ISNUMBER(X20)),ABS(N(Q20)-N(X20))&lt;=Settings!$B$9*MAX(1,ABS(N(X20))),AND(Q20="",X20="")),IF(AND(ISNUMBER(R20),ISNUMBER(Y20)),ABS(N(R20)-N(Y20))&lt;=Settings!$B$9*MAX(1,ABS(N(Y20))),AND(R20="",Y20="")),T20=Z20,IF(AND(ISNUMBER(U20),ISNUMBER(AA20)),ABS(N(U20)-N(AA20))&lt;=Settings!$B$9*MAX(1,ABS(N(AA20))),AND(U20="",AA20=""))),"ok","CHECK")</f>
        <v>ok</v>
      </c>
      <c r="AJ20" s="2"/>
      <c r="AK20" s="6" t="n">
        <f aca="false">IF(ISNUMBER(P20),1,0)</f>
        <v>1</v>
      </c>
      <c r="AL20" s="6" t="n">
        <f aca="false">COUNTIFS(Runs!$B$2:$B$61,B20,Runs!$E$2:$E$61,E20,Runs!$N$2:$N$61,N20,Runs!$AK$2:$AK$61,1)</f>
        <v>2</v>
      </c>
      <c r="AM20" s="6" t="n">
        <f aca="false">IF(AK20=1,AVERAGEIFS(Runs!$P$2:$P$61,Runs!$B$2:$B$61,B20,Runs!$E$2:$E$61,E20,Runs!$N$2:$N$61,N20,Runs!$AK$2:$AK$61,1),"")</f>
        <v>4.43568250256843</v>
      </c>
      <c r="AN20" s="6" t="n">
        <f aca="false">IF(AK20=1,IF(AL20&gt;1,(P20-AM20)^2*AL20/(AL20-1),0),0)</f>
        <v>0.0279398271973498</v>
      </c>
      <c r="AO20" s="6" t="n">
        <f aca="false">IF(ISNUMBER(R20),1,0)</f>
        <v>1</v>
      </c>
      <c r="AP20" s="6" t="n">
        <f aca="false">COUNTIFS(Runs!$B$2:$B$61,B20,Runs!$E$2:$E$61,E20,Runs!$N$2:$N$61,N20,Runs!$AO$2:$AO$61,1)</f>
        <v>2</v>
      </c>
      <c r="AQ20" s="6" t="n">
        <f aca="false">IF(AO20=1,AVERAGEIFS(Runs!$R$2:$R$61,Runs!$B$2:$B$61,B20,Runs!$E$2:$E$61,E20,Runs!$N$2:$N$61,N20,Runs!$AO$2:$AO$61,1),"")</f>
        <v>94.445</v>
      </c>
      <c r="AR20" s="6" t="n">
        <f aca="false">IF(AO20=1,IF(AP20&gt;1,(R20-AQ20)^2*AP20/(AP20-1),0),0)</f>
        <v>6.88205000000003</v>
      </c>
      <c r="AS20" s="6" t="n">
        <f aca="false">IF(ISNUMBER(J20),1,0)</f>
        <v>1</v>
      </c>
      <c r="AT20" s="6" t="n">
        <f aca="false">COUNTIFS(Runs!$B$2:$B$61,B20,Runs!$E$2:$E$61,E20,Runs!$N$2:$N$61,N20,Runs!$AS$2:$AS$61,1)</f>
        <v>2</v>
      </c>
      <c r="AU20" s="6" t="n">
        <f aca="false">IF(AS20=1,AVERAGEIFS(Runs!$J$2:$J$61,Runs!$B$2:$B$61,B20,Runs!$E$2:$E$61,E20,Runs!$N$2:$N$61,N20,Runs!$AS$2:$AS$61,1),"")</f>
        <v>0</v>
      </c>
      <c r="AV20" s="6" t="n">
        <f aca="false">IF(AS20=1,IF(AT20&gt;1,(J20-AU20)^2*AT20/(AT20-1),0),0)</f>
        <v>0</v>
      </c>
      <c r="AW20" s="6" t="n">
        <f aca="false">IF(ISNUMBER(Q20),1,0)</f>
        <v>0</v>
      </c>
      <c r="AX20" s="6" t="n">
        <f aca="false">COUNTIFS(Runs!$B$2:$B$61,B20,Runs!$E$2:$E$61,E20,Runs!$N$2:$N$61,N20,Runs!$AW$2:$AW$61,1)</f>
        <v>0</v>
      </c>
      <c r="AY20" s="6" t="str">
        <f aca="false">IF(AW20=1,AVERAGEIFS(Runs!$Q$2:$Q$61,Runs!$B$2:$B$61,B20,Runs!$E$2:$E$61,E20,Runs!$N$2:$N$61,N20,Runs!$AW$2:$AW$61,1),"")</f>
        <v/>
      </c>
      <c r="AZ20" s="6" t="n">
        <f aca="false">IF(AW20=1,IF(AX20&gt;1,(Q20-AY20)^2*AX20/(AX20-1),0),0)</f>
        <v>0</v>
      </c>
    </row>
    <row r="21" customFormat="false" ht="15" hidden="false" customHeight="false" outlineLevel="0" collapsed="false">
      <c r="A21" s="9" t="s">
        <v>136</v>
      </c>
      <c r="B21" s="9" t="s">
        <v>104</v>
      </c>
      <c r="C21" s="9" t="s">
        <v>135</v>
      </c>
      <c r="D21" s="9" t="s">
        <v>106</v>
      </c>
      <c r="E21" s="9" t="s">
        <v>107</v>
      </c>
      <c r="F21" s="9" t="n">
        <v>2</v>
      </c>
      <c r="G21" s="9" t="s">
        <v>108</v>
      </c>
      <c r="H21" s="9" t="n">
        <v>75</v>
      </c>
      <c r="I21" s="9" t="n">
        <v>0</v>
      </c>
      <c r="J21" s="9" t="n">
        <v>0</v>
      </c>
      <c r="K21" s="9"/>
      <c r="L21" s="9" t="n">
        <v>0</v>
      </c>
      <c r="M21" s="9" t="n">
        <v>1</v>
      </c>
      <c r="N21" s="6" t="str">
        <f aca="false">C21&amp;"|"&amp;D21</f>
        <v>message-board|execution</v>
      </c>
      <c r="O21" s="6" t="n">
        <f aca="false">IF(G21="finished",0,1)</f>
        <v>0</v>
      </c>
      <c r="P21" s="6" t="n">
        <f aca="false">IF(O21=0,LN(H21),"")</f>
        <v>4.31748811353631</v>
      </c>
      <c r="Q21" s="6" t="str">
        <f aca="false">IF(ISNUMBER(K21),IF(K21&gt;0,LN(K21),""),"")</f>
        <v/>
      </c>
      <c r="R21" s="6" t="n">
        <f aca="false">IF(M21=1,INDEX(Quality!$AF:$AF,MATCH(A21,Quality!$A:$A,0)),"")</f>
        <v>92.59</v>
      </c>
      <c r="S21" s="6" t="n">
        <f aca="false">IF(R21="","",IF(T21=1,0,R21))</f>
        <v>92.59</v>
      </c>
      <c r="T21" s="6" t="n">
        <f aca="false">IF(M21=1,INDEX(Quality!$AG:$AG,MATCH(A21,Quality!$A:$A,0)),0)</f>
        <v>0</v>
      </c>
      <c r="U21" s="6" t="n">
        <f aca="false">IF(M21=1,INDEX(Quality!$AS:$AS,MATCH(A21,Quality!$A:$A,0)),"")</f>
        <v>1</v>
      </c>
      <c r="V21" s="9" t="n">
        <v>0</v>
      </c>
      <c r="W21" s="9" t="n">
        <v>4.31749</v>
      </c>
      <c r="X21" s="9"/>
      <c r="Y21" s="9" t="n">
        <v>92.59</v>
      </c>
      <c r="Z21" s="9" t="n">
        <v>0</v>
      </c>
      <c r="AA21" s="9" t="n">
        <v>1</v>
      </c>
      <c r="AB21" s="9" t="s">
        <v>108</v>
      </c>
      <c r="AC21" s="9" t="n">
        <v>75</v>
      </c>
      <c r="AD21" s="9" t="n">
        <v>0</v>
      </c>
      <c r="AE21" s="9"/>
      <c r="AF21" s="9" t="n">
        <v>0</v>
      </c>
      <c r="AG21" s="9" t="n">
        <v>0</v>
      </c>
      <c r="AH21" s="6" t="str">
        <f aca="false">IF(AND(G21=AB21,IF(AND(ISNUMBER(H21),ISNUMBER(AC21)),ABS(N(H21)-N(AC21))&lt;=Settings!$B$9*MAX(1,ABS(N(AC21))),AND(H21="",AC21="")),IF(AND(ISNUMBER(J21),ISNUMBER(AD21)),ABS(N(J21)-N(AD21))&lt;=Settings!$B$9*MAX(1,ABS(N(AD21))),AND(J21="",AD21="")),IF(AND(ISNUMBER(K21),ISNUMBER(AE21)),ABS(N(K21)-N(AE21))&lt;=Settings!$B$9*MAX(1,ABS(N(AE21))),AND(K21="",AE21="")),L21=AF21,I21=AG21),"ok","CHECK")</f>
        <v>ok</v>
      </c>
      <c r="AI21" s="6" t="str">
        <f aca="false">IF(AND(IF(AND(ISNUMBER(O21),ISNUMBER(V21)),ABS(N(O21)-N(V21))&lt;=Settings!$B$9*MAX(1,ABS(N(V21))),AND(O21="",V21="")),IF(AND(ISNUMBER(P21),ISNUMBER(W21)),ABS(N(P21)-N(W21))&lt;=Settings!$B$9*MAX(1,ABS(N(W21))),AND(P21="",W21="")),IF(AND(ISNUMBER(Q21),ISNUMBER(X21)),ABS(N(Q21)-N(X21))&lt;=Settings!$B$9*MAX(1,ABS(N(X21))),AND(Q21="",X21="")),IF(AND(ISNUMBER(R21),ISNUMBER(Y21)),ABS(N(R21)-N(Y21))&lt;=Settings!$B$9*MAX(1,ABS(N(Y21))),AND(R21="",Y21="")),T21=Z21,IF(AND(ISNUMBER(U21),ISNUMBER(AA21)),ABS(N(U21)-N(AA21))&lt;=Settings!$B$9*MAX(1,ABS(N(AA21))),AND(U21="",AA21=""))),"ok","CHECK")</f>
        <v>ok</v>
      </c>
      <c r="AJ21" s="2"/>
      <c r="AK21" s="6" t="n">
        <f aca="false">IF(ISNUMBER(P21),1,0)</f>
        <v>1</v>
      </c>
      <c r="AL21" s="6" t="n">
        <f aca="false">COUNTIFS(Runs!$B$2:$B$61,B21,Runs!$E$2:$E$61,E21,Runs!$N$2:$N$61,N21,Runs!$AK$2:$AK$61,1)</f>
        <v>2</v>
      </c>
      <c r="AM21" s="6" t="n">
        <f aca="false">IF(AK21=1,AVERAGEIFS(Runs!$P$2:$P$61,Runs!$B$2:$B$61,B21,Runs!$E$2:$E$61,E21,Runs!$N$2:$N$61,N21,Runs!$AK$2:$AK$61,1),"")</f>
        <v>4.43568250256843</v>
      </c>
      <c r="AN21" s="6" t="n">
        <f aca="false">IF(AK21=1,IF(AL21&gt;1,(P21-AM21)^2*AL21/(AL21-1),0),0)</f>
        <v>0.0279398271973503</v>
      </c>
      <c r="AO21" s="6" t="n">
        <f aca="false">IF(ISNUMBER(R21),1,0)</f>
        <v>1</v>
      </c>
      <c r="AP21" s="6" t="n">
        <f aca="false">COUNTIFS(Runs!$B$2:$B$61,B21,Runs!$E$2:$E$61,E21,Runs!$N$2:$N$61,N21,Runs!$AO$2:$AO$61,1)</f>
        <v>2</v>
      </c>
      <c r="AQ21" s="6" t="n">
        <f aca="false">IF(AO21=1,AVERAGEIFS(Runs!$R$2:$R$61,Runs!$B$2:$B$61,B21,Runs!$E$2:$E$61,E21,Runs!$N$2:$N$61,N21,Runs!$AO$2:$AO$61,1),"")</f>
        <v>94.445</v>
      </c>
      <c r="AR21" s="6" t="n">
        <f aca="false">IF(AO21=1,IF(AP21&gt;1,(R21-AQ21)^2*AP21/(AP21-1),0),0)</f>
        <v>6.88204999999992</v>
      </c>
      <c r="AS21" s="6" t="n">
        <f aca="false">IF(ISNUMBER(J21),1,0)</f>
        <v>1</v>
      </c>
      <c r="AT21" s="6" t="n">
        <f aca="false">COUNTIFS(Runs!$B$2:$B$61,B21,Runs!$E$2:$E$61,E21,Runs!$N$2:$N$61,N21,Runs!$AS$2:$AS$61,1)</f>
        <v>2</v>
      </c>
      <c r="AU21" s="6" t="n">
        <f aca="false">IF(AS21=1,AVERAGEIFS(Runs!$J$2:$J$61,Runs!$B$2:$B$61,B21,Runs!$E$2:$E$61,E21,Runs!$N$2:$N$61,N21,Runs!$AS$2:$AS$61,1),"")</f>
        <v>0</v>
      </c>
      <c r="AV21" s="6" t="n">
        <f aca="false">IF(AS21=1,IF(AT21&gt;1,(J21-AU21)^2*AT21/(AT21-1),0),0)</f>
        <v>0</v>
      </c>
      <c r="AW21" s="6" t="n">
        <f aca="false">IF(ISNUMBER(Q21),1,0)</f>
        <v>0</v>
      </c>
      <c r="AX21" s="6" t="n">
        <f aca="false">COUNTIFS(Runs!$B$2:$B$61,B21,Runs!$E$2:$E$61,E21,Runs!$N$2:$N$61,N21,Runs!$AW$2:$AW$61,1)</f>
        <v>0</v>
      </c>
      <c r="AY21" s="6" t="str">
        <f aca="false">IF(AW21=1,AVERAGEIFS(Runs!$Q$2:$Q$61,Runs!$B$2:$B$61,B21,Runs!$E$2:$E$61,E21,Runs!$N$2:$N$61,N21,Runs!$AW$2:$AW$61,1),"")</f>
        <v/>
      </c>
      <c r="AZ21" s="6" t="n">
        <f aca="false">IF(AW21=1,IF(AX21&gt;1,(Q21-AY21)^2*AX21/(AX21-1),0),0)</f>
        <v>0</v>
      </c>
    </row>
    <row r="22" customFormat="false" ht="15" hidden="false" customHeight="false" outlineLevel="0" collapsed="false">
      <c r="A22" s="9" t="s">
        <v>137</v>
      </c>
      <c r="B22" s="9" t="s">
        <v>104</v>
      </c>
      <c r="C22" s="9" t="s">
        <v>135</v>
      </c>
      <c r="D22" s="9" t="s">
        <v>106</v>
      </c>
      <c r="E22" s="9" t="s">
        <v>111</v>
      </c>
      <c r="F22" s="9" t="n">
        <v>1</v>
      </c>
      <c r="G22" s="9" t="s">
        <v>129</v>
      </c>
      <c r="H22" s="9" t="n">
        <v>57</v>
      </c>
      <c r="I22" s="9" t="n">
        <v>0</v>
      </c>
      <c r="J22" s="9" t="n">
        <v>0.666667</v>
      </c>
      <c r="K22" s="9" t="n">
        <v>344</v>
      </c>
      <c r="L22" s="9" t="n">
        <v>1</v>
      </c>
      <c r="M22" s="9" t="n">
        <v>1</v>
      </c>
      <c r="N22" s="6" t="str">
        <f aca="false">C22&amp;"|"&amp;D22</f>
        <v>message-board|execution</v>
      </c>
      <c r="O22" s="6" t="n">
        <f aca="false">IF(G22="finished",0,1)</f>
        <v>1</v>
      </c>
      <c r="P22" s="6" t="str">
        <f aca="false">IF(O22=0,LN(H22),"")</f>
        <v/>
      </c>
      <c r="Q22" s="6" t="n">
        <f aca="false">IF(ISNUMBER(K22),IF(K22&gt;0,LN(K22),""),"")</f>
        <v>5.8406416573734</v>
      </c>
      <c r="R22" s="6" t="n">
        <f aca="false">IF(M22=1,INDEX(Quality!$AF:$AF,MATCH(A22,Quality!$A:$A,0)),"")</f>
        <v>0</v>
      </c>
      <c r="S22" s="6" t="n">
        <f aca="false">IF(R22="","",IF(T22=1,0,R22))</f>
        <v>0</v>
      </c>
      <c r="T22" s="6" t="n">
        <f aca="false">IF(M22=1,INDEX(Quality!$AG:$AG,MATCH(A22,Quality!$A:$A,0)),0)</f>
        <v>0</v>
      </c>
      <c r="U22" s="6" t="n">
        <f aca="false">IF(M22=1,INDEX(Quality!$AS:$AS,MATCH(A22,Quality!$A:$A,0)),"")</f>
        <v>0.5</v>
      </c>
      <c r="V22" s="9" t="n">
        <v>1</v>
      </c>
      <c r="W22" s="9"/>
      <c r="X22" s="9" t="n">
        <v>5.84064</v>
      </c>
      <c r="Y22" s="9" t="n">
        <v>0</v>
      </c>
      <c r="Z22" s="9" t="n">
        <v>0</v>
      </c>
      <c r="AA22" s="9" t="n">
        <v>0.5</v>
      </c>
      <c r="AB22" s="9" t="s">
        <v>129</v>
      </c>
      <c r="AC22" s="9" t="n">
        <v>57</v>
      </c>
      <c r="AD22" s="9" t="n">
        <v>0.666666666666667</v>
      </c>
      <c r="AE22" s="9" t="n">
        <v>344</v>
      </c>
      <c r="AF22" s="9" t="n">
        <v>1</v>
      </c>
      <c r="AG22" s="9" t="n">
        <v>0</v>
      </c>
      <c r="AH22" s="6" t="str">
        <f aca="false">IF(AND(G22=AB22,IF(AND(ISNUMBER(H22),ISNUMBER(AC22)),ABS(N(H22)-N(AC22))&lt;=Settings!$B$9*MAX(1,ABS(N(AC22))),AND(H22="",AC22="")),IF(AND(ISNUMBER(J22),ISNUMBER(AD22)),ABS(N(J22)-N(AD22))&lt;=Settings!$B$9*MAX(1,ABS(N(AD22))),AND(J22="",AD22="")),IF(AND(ISNUMBER(K22),ISNUMBER(AE22)),ABS(N(K22)-N(AE22))&lt;=Settings!$B$9*MAX(1,ABS(N(AE22))),AND(K22="",AE22="")),L22=AF22,I22=AG22),"ok","CHECK")</f>
        <v>ok</v>
      </c>
      <c r="AI22" s="6" t="str">
        <f aca="false">IF(AND(IF(AND(ISNUMBER(O22),ISNUMBER(V22)),ABS(N(O22)-N(V22))&lt;=Settings!$B$9*MAX(1,ABS(N(V22))),AND(O22="",V22="")),IF(AND(ISNUMBER(P22),ISNUMBER(W22)),ABS(N(P22)-N(W22))&lt;=Settings!$B$9*MAX(1,ABS(N(W22))),AND(P22="",W22="")),IF(AND(ISNUMBER(Q22),ISNUMBER(X22)),ABS(N(Q22)-N(X22))&lt;=Settings!$B$9*MAX(1,ABS(N(X22))),AND(Q22="",X22="")),IF(AND(ISNUMBER(R22),ISNUMBER(Y22)),ABS(N(R22)-N(Y22))&lt;=Settings!$B$9*MAX(1,ABS(N(Y22))),AND(R22="",Y22="")),T22=Z22,IF(AND(ISNUMBER(U22),ISNUMBER(AA22)),ABS(N(U22)-N(AA22))&lt;=Settings!$B$9*MAX(1,ABS(N(AA22))),AND(U22="",AA22=""))),"ok","CHECK")</f>
        <v>ok</v>
      </c>
      <c r="AJ22" s="2"/>
      <c r="AK22" s="6" t="n">
        <f aca="false">IF(ISNUMBER(P22),1,0)</f>
        <v>0</v>
      </c>
      <c r="AL22" s="6" t="n">
        <f aca="false">COUNTIFS(Runs!$B$2:$B$61,B22,Runs!$E$2:$E$61,E22,Runs!$N$2:$N$61,N22,Runs!$AK$2:$AK$61,1)</f>
        <v>1</v>
      </c>
      <c r="AM22" s="6" t="str">
        <f aca="false">IF(AK22=1,AVERAGEIFS(Runs!$P$2:$P$61,Runs!$B$2:$B$61,B22,Runs!$E$2:$E$61,E22,Runs!$N$2:$N$61,N22,Runs!$AK$2:$AK$61,1),"")</f>
        <v/>
      </c>
      <c r="AN22" s="6" t="n">
        <f aca="false">IF(AK22=1,IF(AL22&gt;1,(P22-AM22)^2*AL22/(AL22-1),0),0)</f>
        <v>0</v>
      </c>
      <c r="AO22" s="6" t="n">
        <f aca="false">IF(ISNUMBER(R22),1,0)</f>
        <v>1</v>
      </c>
      <c r="AP22" s="6" t="n">
        <f aca="false">COUNTIFS(Runs!$B$2:$B$61,B22,Runs!$E$2:$E$61,E22,Runs!$N$2:$N$61,N22,Runs!$AO$2:$AO$61,1)</f>
        <v>2</v>
      </c>
      <c r="AQ22" s="6" t="n">
        <f aca="false">IF(AO22=1,AVERAGEIFS(Runs!$R$2:$R$61,Runs!$B$2:$B$61,B22,Runs!$E$2:$E$61,E22,Runs!$N$2:$N$61,N22,Runs!$AO$2:$AO$61,1),"")</f>
        <v>5.555</v>
      </c>
      <c r="AR22" s="6" t="n">
        <f aca="false">IF(AO22=1,IF(AP22&gt;1,(R22-AQ22)^2*AP22/(AP22-1),0),0)</f>
        <v>61.71605</v>
      </c>
      <c r="AS22" s="6" t="n">
        <f aca="false">IF(ISNUMBER(J22),1,0)</f>
        <v>1</v>
      </c>
      <c r="AT22" s="6" t="n">
        <f aca="false">COUNTIFS(Runs!$B$2:$B$61,B22,Runs!$E$2:$E$61,E22,Runs!$N$2:$N$61,N22,Runs!$AS$2:$AS$61,1)</f>
        <v>2</v>
      </c>
      <c r="AU22" s="6" t="n">
        <f aca="false">IF(AS22=1,AVERAGEIFS(Runs!$J$2:$J$61,Runs!$B$2:$B$61,B22,Runs!$E$2:$E$61,E22,Runs!$N$2:$N$61,N22,Runs!$AS$2:$AS$61,1),"")</f>
        <v>0.666667</v>
      </c>
      <c r="AV22" s="6" t="n">
        <f aca="false">IF(AS22=1,IF(AT22&gt;1,(J22-AU22)^2*AT22/(AT22-1),0),0)</f>
        <v>0</v>
      </c>
      <c r="AW22" s="6" t="n">
        <f aca="false">IF(ISNUMBER(Q22),1,0)</f>
        <v>1</v>
      </c>
      <c r="AX22" s="6" t="n">
        <f aca="false">COUNTIFS(Runs!$B$2:$B$61,B22,Runs!$E$2:$E$61,E22,Runs!$N$2:$N$61,N22,Runs!$AW$2:$AW$61,1)</f>
        <v>2</v>
      </c>
      <c r="AY22" s="6" t="n">
        <f aca="false">IF(AW22=1,AVERAGEIFS(Runs!$Q$2:$Q$61,Runs!$B$2:$B$61,B22,Runs!$E$2:$E$61,E22,Runs!$N$2:$N$61,N22,Runs!$AW$2:$AW$61,1),"")</f>
        <v>5.90211050049592</v>
      </c>
      <c r="AZ22" s="6" t="n">
        <f aca="false">IF(AW22=1,IF(AX22&gt;1,(Q22-AY22)^2*AX22/(AX22-1),0),0)</f>
        <v>0.00755683734964301</v>
      </c>
    </row>
    <row r="23" customFormat="false" ht="15" hidden="false" customHeight="false" outlineLevel="0" collapsed="false">
      <c r="A23" s="9" t="s">
        <v>138</v>
      </c>
      <c r="B23" s="9" t="s">
        <v>104</v>
      </c>
      <c r="C23" s="9" t="s">
        <v>135</v>
      </c>
      <c r="D23" s="9" t="s">
        <v>106</v>
      </c>
      <c r="E23" s="9" t="s">
        <v>111</v>
      </c>
      <c r="F23" s="9" t="n">
        <v>2</v>
      </c>
      <c r="G23" s="9" t="s">
        <v>108</v>
      </c>
      <c r="H23" s="9" t="n">
        <v>120</v>
      </c>
      <c r="I23" s="9" t="n">
        <v>0</v>
      </c>
      <c r="J23" s="9" t="n">
        <v>0.666667</v>
      </c>
      <c r="K23" s="9" t="n">
        <v>389</v>
      </c>
      <c r="L23" s="9" t="n">
        <v>0</v>
      </c>
      <c r="M23" s="9" t="n">
        <v>1</v>
      </c>
      <c r="N23" s="6" t="str">
        <f aca="false">C23&amp;"|"&amp;D23</f>
        <v>message-board|execution</v>
      </c>
      <c r="O23" s="6" t="n">
        <f aca="false">IF(G23="finished",0,1)</f>
        <v>0</v>
      </c>
      <c r="P23" s="6" t="n">
        <f aca="false">IF(O23=0,LN(H23),"")</f>
        <v>4.78749174278205</v>
      </c>
      <c r="Q23" s="6" t="n">
        <f aca="false">IF(ISNUMBER(K23),IF(K23&gt;0,LN(K23),""),"")</f>
        <v>5.96357934361845</v>
      </c>
      <c r="R23" s="6" t="n">
        <f aca="false">IF(M23=1,INDEX(Quality!$AF:$AF,MATCH(A23,Quality!$A:$A,0)),"")</f>
        <v>11.11</v>
      </c>
      <c r="S23" s="6" t="n">
        <f aca="false">IF(R23="","",IF(T23=1,0,R23))</f>
        <v>11.11</v>
      </c>
      <c r="T23" s="6" t="n">
        <f aca="false">IF(M23=1,INDEX(Quality!$AG:$AG,MATCH(A23,Quality!$A:$A,0)),0)</f>
        <v>0</v>
      </c>
      <c r="U23" s="6" t="n">
        <f aca="false">IF(M23=1,INDEX(Quality!$AS:$AS,MATCH(A23,Quality!$A:$A,0)),"")</f>
        <v>1</v>
      </c>
      <c r="V23" s="9" t="n">
        <v>0</v>
      </c>
      <c r="W23" s="9" t="n">
        <v>4.78749</v>
      </c>
      <c r="X23" s="9" t="n">
        <v>5.96358</v>
      </c>
      <c r="Y23" s="9" t="n">
        <v>11.11</v>
      </c>
      <c r="Z23" s="9" t="n">
        <v>0</v>
      </c>
      <c r="AA23" s="9" t="n">
        <v>1</v>
      </c>
      <c r="AB23" s="9" t="s">
        <v>108</v>
      </c>
      <c r="AC23" s="9" t="n">
        <v>120</v>
      </c>
      <c r="AD23" s="9" t="n">
        <v>0.666666666666667</v>
      </c>
      <c r="AE23" s="9" t="n">
        <v>389</v>
      </c>
      <c r="AF23" s="9" t="n">
        <v>0</v>
      </c>
      <c r="AG23" s="9" t="n">
        <v>0</v>
      </c>
      <c r="AH23" s="6" t="str">
        <f aca="false">IF(AND(G23=AB23,IF(AND(ISNUMBER(H23),ISNUMBER(AC23)),ABS(N(H23)-N(AC23))&lt;=Settings!$B$9*MAX(1,ABS(N(AC23))),AND(H23="",AC23="")),IF(AND(ISNUMBER(J23),ISNUMBER(AD23)),ABS(N(J23)-N(AD23))&lt;=Settings!$B$9*MAX(1,ABS(N(AD23))),AND(J23="",AD23="")),IF(AND(ISNUMBER(K23),ISNUMBER(AE23)),ABS(N(K23)-N(AE23))&lt;=Settings!$B$9*MAX(1,ABS(N(AE23))),AND(K23="",AE23="")),L23=AF23,I23=AG23),"ok","CHECK")</f>
        <v>ok</v>
      </c>
      <c r="AI23" s="6" t="str">
        <f aca="false">IF(AND(IF(AND(ISNUMBER(O23),ISNUMBER(V23)),ABS(N(O23)-N(V23))&lt;=Settings!$B$9*MAX(1,ABS(N(V23))),AND(O23="",V23="")),IF(AND(ISNUMBER(P23),ISNUMBER(W23)),ABS(N(P23)-N(W23))&lt;=Settings!$B$9*MAX(1,ABS(N(W23))),AND(P23="",W23="")),IF(AND(ISNUMBER(Q23),ISNUMBER(X23)),ABS(N(Q23)-N(X23))&lt;=Settings!$B$9*MAX(1,ABS(N(X23))),AND(Q23="",X23="")),IF(AND(ISNUMBER(R23),ISNUMBER(Y23)),ABS(N(R23)-N(Y23))&lt;=Settings!$B$9*MAX(1,ABS(N(Y23))),AND(R23="",Y23="")),T23=Z23,IF(AND(ISNUMBER(U23),ISNUMBER(AA23)),ABS(N(U23)-N(AA23))&lt;=Settings!$B$9*MAX(1,ABS(N(AA23))),AND(U23="",AA23=""))),"ok","CHECK")</f>
        <v>ok</v>
      </c>
      <c r="AJ23" s="2"/>
      <c r="AK23" s="6" t="n">
        <f aca="false">IF(ISNUMBER(P23),1,0)</f>
        <v>1</v>
      </c>
      <c r="AL23" s="6" t="n">
        <f aca="false">COUNTIFS(Runs!$B$2:$B$61,B23,Runs!$E$2:$E$61,E23,Runs!$N$2:$N$61,N23,Runs!$AK$2:$AK$61,1)</f>
        <v>1</v>
      </c>
      <c r="AM23" s="6" t="n">
        <f aca="false">IF(AK23=1,AVERAGEIFS(Runs!$P$2:$P$61,Runs!$B$2:$B$61,B23,Runs!$E$2:$E$61,E23,Runs!$N$2:$N$61,N23,Runs!$AK$2:$AK$61,1),"")</f>
        <v>4.78749174278205</v>
      </c>
      <c r="AN23" s="6" t="n">
        <f aca="false">IF(AK23=1,IF(AL23&gt;1,(P23-AM23)^2*AL23/(AL23-1),0),0)</f>
        <v>0</v>
      </c>
      <c r="AO23" s="6" t="n">
        <f aca="false">IF(ISNUMBER(R23),1,0)</f>
        <v>1</v>
      </c>
      <c r="AP23" s="6" t="n">
        <f aca="false">COUNTIFS(Runs!$B$2:$B$61,B23,Runs!$E$2:$E$61,E23,Runs!$N$2:$N$61,N23,Runs!$AO$2:$AO$61,1)</f>
        <v>2</v>
      </c>
      <c r="AQ23" s="6" t="n">
        <f aca="false">IF(AO23=1,AVERAGEIFS(Runs!$R$2:$R$61,Runs!$B$2:$B$61,B23,Runs!$E$2:$E$61,E23,Runs!$N$2:$N$61,N23,Runs!$AO$2:$AO$61,1),"")</f>
        <v>5.555</v>
      </c>
      <c r="AR23" s="6" t="n">
        <f aca="false">IF(AO23=1,IF(AP23&gt;1,(R23-AQ23)^2*AP23/(AP23-1),0),0)</f>
        <v>61.71605</v>
      </c>
      <c r="AS23" s="6" t="n">
        <f aca="false">IF(ISNUMBER(J23),1,0)</f>
        <v>1</v>
      </c>
      <c r="AT23" s="6" t="n">
        <f aca="false">COUNTIFS(Runs!$B$2:$B$61,B23,Runs!$E$2:$E$61,E23,Runs!$N$2:$N$61,N23,Runs!$AS$2:$AS$61,1)</f>
        <v>2</v>
      </c>
      <c r="AU23" s="6" t="n">
        <f aca="false">IF(AS23=1,AVERAGEIFS(Runs!$J$2:$J$61,Runs!$B$2:$B$61,B23,Runs!$E$2:$E$61,E23,Runs!$N$2:$N$61,N23,Runs!$AS$2:$AS$61,1),"")</f>
        <v>0.666667</v>
      </c>
      <c r="AV23" s="6" t="n">
        <f aca="false">IF(AS23=1,IF(AT23&gt;1,(J23-AU23)^2*AT23/(AT23-1),0),0)</f>
        <v>0</v>
      </c>
      <c r="AW23" s="6" t="n">
        <f aca="false">IF(ISNUMBER(Q23),1,0)</f>
        <v>1</v>
      </c>
      <c r="AX23" s="6" t="n">
        <f aca="false">COUNTIFS(Runs!$B$2:$B$61,B23,Runs!$E$2:$E$61,E23,Runs!$N$2:$N$61,N23,Runs!$AW$2:$AW$61,1)</f>
        <v>2</v>
      </c>
      <c r="AY23" s="6" t="n">
        <f aca="false">IF(AW23=1,AVERAGEIFS(Runs!$Q$2:$Q$61,Runs!$B$2:$B$61,B23,Runs!$E$2:$E$61,E23,Runs!$N$2:$N$61,N23,Runs!$AW$2:$AW$61,1),"")</f>
        <v>5.90211050049592</v>
      </c>
      <c r="AZ23" s="6" t="n">
        <f aca="false">IF(AW23=1,IF(AX23&gt;1,(Q23-AY23)^2*AX23/(AX23-1),0),0)</f>
        <v>0.00755683734964279</v>
      </c>
    </row>
    <row r="24" customFormat="false" ht="15" hidden="false" customHeight="false" outlineLevel="0" collapsed="false">
      <c r="A24" s="9" t="s">
        <v>139</v>
      </c>
      <c r="B24" s="9" t="s">
        <v>104</v>
      </c>
      <c r="C24" s="9" t="s">
        <v>135</v>
      </c>
      <c r="D24" s="9" t="s">
        <v>106</v>
      </c>
      <c r="E24" s="9" t="s">
        <v>115</v>
      </c>
      <c r="F24" s="9" t="n">
        <v>1</v>
      </c>
      <c r="G24" s="9" t="s">
        <v>121</v>
      </c>
      <c r="H24" s="9" t="n">
        <v>64</v>
      </c>
      <c r="I24" s="9" t="n">
        <v>0</v>
      </c>
      <c r="J24" s="9" t="n">
        <v>0.953125</v>
      </c>
      <c r="K24" s="9" t="n">
        <v>140</v>
      </c>
      <c r="L24" s="9" t="n">
        <v>0</v>
      </c>
      <c r="M24" s="9" t="n">
        <v>1</v>
      </c>
      <c r="N24" s="6" t="str">
        <f aca="false">C24&amp;"|"&amp;D24</f>
        <v>message-board|execution</v>
      </c>
      <c r="O24" s="6" t="n">
        <f aca="false">IF(G24="finished",0,1)</f>
        <v>1</v>
      </c>
      <c r="P24" s="6" t="str">
        <f aca="false">IF(O24=0,LN(H24),"")</f>
        <v/>
      </c>
      <c r="Q24" s="6" t="n">
        <f aca="false">IF(ISNUMBER(K24),IF(K24&gt;0,LN(K24),""),"")</f>
        <v>4.9416424226093</v>
      </c>
      <c r="R24" s="6" t="n">
        <f aca="false">IF(M24=1,INDEX(Quality!$AF:$AF,MATCH(A24,Quality!$A:$A,0)),"")</f>
        <v>85.19</v>
      </c>
      <c r="S24" s="6" t="n">
        <f aca="false">IF(R24="","",IF(T24=1,0,R24))</f>
        <v>0</v>
      </c>
      <c r="T24" s="6" t="n">
        <f aca="false">IF(M24=1,INDEX(Quality!$AG:$AG,MATCH(A24,Quality!$A:$A,0)),0)</f>
        <v>1</v>
      </c>
      <c r="U24" s="6" t="n">
        <f aca="false">IF(M24=1,INDEX(Quality!$AS:$AS,MATCH(A24,Quality!$A:$A,0)),"")</f>
        <v>1</v>
      </c>
      <c r="V24" s="9" t="n">
        <v>1</v>
      </c>
      <c r="W24" s="9"/>
      <c r="X24" s="9" t="n">
        <v>4.94164</v>
      </c>
      <c r="Y24" s="9" t="n">
        <v>85.19</v>
      </c>
      <c r="Z24" s="9" t="n">
        <v>1</v>
      </c>
      <c r="AA24" s="9" t="n">
        <v>1</v>
      </c>
      <c r="AB24" s="9" t="s">
        <v>121</v>
      </c>
      <c r="AC24" s="9" t="n">
        <v>64</v>
      </c>
      <c r="AD24" s="9" t="n">
        <v>0.953125</v>
      </c>
      <c r="AE24" s="9" t="n">
        <v>140</v>
      </c>
      <c r="AF24" s="9" t="n">
        <v>0</v>
      </c>
      <c r="AG24" s="9" t="n">
        <v>0</v>
      </c>
      <c r="AH24" s="6" t="str">
        <f aca="false">IF(AND(G24=AB24,IF(AND(ISNUMBER(H24),ISNUMBER(AC24)),ABS(N(H24)-N(AC24))&lt;=Settings!$B$9*MAX(1,ABS(N(AC24))),AND(H24="",AC24="")),IF(AND(ISNUMBER(J24),ISNUMBER(AD24)),ABS(N(J24)-N(AD24))&lt;=Settings!$B$9*MAX(1,ABS(N(AD24))),AND(J24="",AD24="")),IF(AND(ISNUMBER(K24),ISNUMBER(AE24)),ABS(N(K24)-N(AE24))&lt;=Settings!$B$9*MAX(1,ABS(N(AE24))),AND(K24="",AE24="")),L24=AF24,I24=AG24),"ok","CHECK")</f>
        <v>ok</v>
      </c>
      <c r="AI24" s="6" t="str">
        <f aca="false">IF(AND(IF(AND(ISNUMBER(O24),ISNUMBER(V24)),ABS(N(O24)-N(V24))&lt;=Settings!$B$9*MAX(1,ABS(N(V24))),AND(O24="",V24="")),IF(AND(ISNUMBER(P24),ISNUMBER(W24)),ABS(N(P24)-N(W24))&lt;=Settings!$B$9*MAX(1,ABS(N(W24))),AND(P24="",W24="")),IF(AND(ISNUMBER(Q24),ISNUMBER(X24)),ABS(N(Q24)-N(X24))&lt;=Settings!$B$9*MAX(1,ABS(N(X24))),AND(Q24="",X24="")),IF(AND(ISNUMBER(R24),ISNUMBER(Y24)),ABS(N(R24)-N(Y24))&lt;=Settings!$B$9*MAX(1,ABS(N(Y24))),AND(R24="",Y24="")),T24=Z24,IF(AND(ISNUMBER(U24),ISNUMBER(AA24)),ABS(N(U24)-N(AA24))&lt;=Settings!$B$9*MAX(1,ABS(N(AA24))),AND(U24="",AA24=""))),"ok","CHECK")</f>
        <v>ok</v>
      </c>
      <c r="AJ24" s="2"/>
      <c r="AK24" s="6" t="n">
        <f aca="false">IF(ISNUMBER(P24),1,0)</f>
        <v>0</v>
      </c>
      <c r="AL24" s="6" t="n">
        <f aca="false">COUNTIFS(Runs!$B$2:$B$61,B24,Runs!$E$2:$E$61,E24,Runs!$N$2:$N$61,N24,Runs!$AK$2:$AK$61,1)</f>
        <v>1</v>
      </c>
      <c r="AM24" s="6" t="str">
        <f aca="false">IF(AK24=1,AVERAGEIFS(Runs!$P$2:$P$61,Runs!$B$2:$B$61,B24,Runs!$E$2:$E$61,E24,Runs!$N$2:$N$61,N24,Runs!$AK$2:$AK$61,1),"")</f>
        <v/>
      </c>
      <c r="AN24" s="6" t="n">
        <f aca="false">IF(AK24=1,IF(AL24&gt;1,(P24-AM24)^2*AL24/(AL24-1),0),0)</f>
        <v>0</v>
      </c>
      <c r="AO24" s="6" t="n">
        <f aca="false">IF(ISNUMBER(R24),1,0)</f>
        <v>1</v>
      </c>
      <c r="AP24" s="6" t="n">
        <f aca="false">COUNTIFS(Runs!$B$2:$B$61,B24,Runs!$E$2:$E$61,E24,Runs!$N$2:$N$61,N24,Runs!$AO$2:$AO$61,1)</f>
        <v>2</v>
      </c>
      <c r="AQ24" s="6" t="n">
        <f aca="false">IF(AO24=1,AVERAGEIFS(Runs!$R$2:$R$61,Runs!$B$2:$B$61,B24,Runs!$E$2:$E$61,E24,Runs!$N$2:$N$61,N24,Runs!$AO$2:$AO$61,1),"")</f>
        <v>92.595</v>
      </c>
      <c r="AR24" s="6" t="n">
        <f aca="false">IF(AO24=1,IF(AP24&gt;1,(R24-AQ24)^2*AP24/(AP24-1),0),0)</f>
        <v>109.66805</v>
      </c>
      <c r="AS24" s="6" t="n">
        <f aca="false">IF(ISNUMBER(J24),1,0)</f>
        <v>1</v>
      </c>
      <c r="AT24" s="6" t="n">
        <f aca="false">COUNTIFS(Runs!$B$2:$B$61,B24,Runs!$E$2:$E$61,E24,Runs!$N$2:$N$61,N24,Runs!$AS$2:$AS$61,1)</f>
        <v>2</v>
      </c>
      <c r="AU24" s="6" t="n">
        <f aca="false">IF(AS24=1,AVERAGEIFS(Runs!$J$2:$J$61,Runs!$B$2:$B$61,B24,Runs!$E$2:$E$61,E24,Runs!$N$2:$N$61,N24,Runs!$AS$2:$AS$61,1),"")</f>
        <v>0.9765625</v>
      </c>
      <c r="AV24" s="6" t="n">
        <f aca="false">IF(AS24=1,IF(AT24&gt;1,(J24-AU24)^2*AT24/(AT24-1),0),0)</f>
        <v>0.0010986328125</v>
      </c>
      <c r="AW24" s="6" t="n">
        <f aca="false">IF(ISNUMBER(Q24),1,0)</f>
        <v>1</v>
      </c>
      <c r="AX24" s="6" t="n">
        <f aca="false">COUNTIFS(Runs!$B$2:$B$61,B24,Runs!$E$2:$E$61,E24,Runs!$N$2:$N$61,N24,Runs!$AW$2:$AW$61,1)</f>
        <v>2</v>
      </c>
      <c r="AY24" s="6" t="n">
        <f aca="false">IF(AW24=1,AVERAGEIFS(Runs!$Q$2:$Q$61,Runs!$B$2:$B$61,B24,Runs!$E$2:$E$61,E24,Runs!$N$2:$N$61,N24,Runs!$AW$2:$AW$61,1),"")</f>
        <v>5.02075442521675</v>
      </c>
      <c r="AZ24" s="6" t="n">
        <f aca="false">IF(AW24=1,IF(AX24&gt;1,(Q24-AY24)^2*AX24/(AX24-1),0),0)</f>
        <v>0.0125174179131214</v>
      </c>
    </row>
    <row r="25" customFormat="false" ht="15" hidden="false" customHeight="false" outlineLevel="0" collapsed="false">
      <c r="A25" s="9" t="s">
        <v>140</v>
      </c>
      <c r="B25" s="9" t="s">
        <v>104</v>
      </c>
      <c r="C25" s="9" t="s">
        <v>135</v>
      </c>
      <c r="D25" s="9" t="s">
        <v>106</v>
      </c>
      <c r="E25" s="9" t="s">
        <v>115</v>
      </c>
      <c r="F25" s="9" t="n">
        <v>2</v>
      </c>
      <c r="G25" s="9" t="s">
        <v>108</v>
      </c>
      <c r="H25" s="9" t="n">
        <v>58</v>
      </c>
      <c r="I25" s="9" t="n">
        <v>0</v>
      </c>
      <c r="J25" s="9" t="n">
        <v>1</v>
      </c>
      <c r="K25" s="9" t="n">
        <v>164</v>
      </c>
      <c r="L25" s="9" t="n">
        <v>0</v>
      </c>
      <c r="M25" s="9" t="n">
        <v>1</v>
      </c>
      <c r="N25" s="6" t="str">
        <f aca="false">C25&amp;"|"&amp;D25</f>
        <v>message-board|execution</v>
      </c>
      <c r="O25" s="6" t="n">
        <f aca="false">IF(G25="finished",0,1)</f>
        <v>0</v>
      </c>
      <c r="P25" s="6" t="n">
        <f aca="false">IF(O25=0,LN(H25),"")</f>
        <v>4.06044301054642</v>
      </c>
      <c r="Q25" s="6" t="n">
        <f aca="false">IF(ISNUMBER(K25),IF(K25&gt;0,LN(K25),""),"")</f>
        <v>5.0998664278242</v>
      </c>
      <c r="R25" s="6" t="n">
        <f aca="false">IF(M25=1,INDEX(Quality!$AF:$AF,MATCH(A25,Quality!$A:$A,0)),"")</f>
        <v>100</v>
      </c>
      <c r="S25" s="6" t="n">
        <f aca="false">IF(R25="","",IF(T25=1,0,R25))</f>
        <v>100</v>
      </c>
      <c r="T25" s="6" t="n">
        <f aca="false">IF(M25=1,INDEX(Quality!$AG:$AG,MATCH(A25,Quality!$A:$A,0)),0)</f>
        <v>0</v>
      </c>
      <c r="U25" s="6" t="n">
        <f aca="false">IF(M25=1,INDEX(Quality!$AS:$AS,MATCH(A25,Quality!$A:$A,0)),"")</f>
        <v>0.5</v>
      </c>
      <c r="V25" s="9" t="n">
        <v>0</v>
      </c>
      <c r="W25" s="9" t="n">
        <v>4.06044</v>
      </c>
      <c r="X25" s="9" t="n">
        <v>5.09987</v>
      </c>
      <c r="Y25" s="9" t="n">
        <v>100</v>
      </c>
      <c r="Z25" s="9" t="n">
        <v>0</v>
      </c>
      <c r="AA25" s="9" t="n">
        <v>0.5</v>
      </c>
      <c r="AB25" s="9" t="s">
        <v>108</v>
      </c>
      <c r="AC25" s="9" t="n">
        <v>58</v>
      </c>
      <c r="AD25" s="9" t="n">
        <v>1</v>
      </c>
      <c r="AE25" s="9" t="n">
        <v>164</v>
      </c>
      <c r="AF25" s="9" t="n">
        <v>0</v>
      </c>
      <c r="AG25" s="9" t="n">
        <v>0</v>
      </c>
      <c r="AH25" s="6" t="str">
        <f aca="false">IF(AND(G25=AB25,IF(AND(ISNUMBER(H25),ISNUMBER(AC25)),ABS(N(H25)-N(AC25))&lt;=Settings!$B$9*MAX(1,ABS(N(AC25))),AND(H25="",AC25="")),IF(AND(ISNUMBER(J25),ISNUMBER(AD25)),ABS(N(J25)-N(AD25))&lt;=Settings!$B$9*MAX(1,ABS(N(AD25))),AND(J25="",AD25="")),IF(AND(ISNUMBER(K25),ISNUMBER(AE25)),ABS(N(K25)-N(AE25))&lt;=Settings!$B$9*MAX(1,ABS(N(AE25))),AND(K25="",AE25="")),L25=AF25,I25=AG25),"ok","CHECK")</f>
        <v>ok</v>
      </c>
      <c r="AI25" s="6" t="str">
        <f aca="false">IF(AND(IF(AND(ISNUMBER(O25),ISNUMBER(V25)),ABS(N(O25)-N(V25))&lt;=Settings!$B$9*MAX(1,ABS(N(V25))),AND(O25="",V25="")),IF(AND(ISNUMBER(P25),ISNUMBER(W25)),ABS(N(P25)-N(W25))&lt;=Settings!$B$9*MAX(1,ABS(N(W25))),AND(P25="",W25="")),IF(AND(ISNUMBER(Q25),ISNUMBER(X25)),ABS(N(Q25)-N(X25))&lt;=Settings!$B$9*MAX(1,ABS(N(X25))),AND(Q25="",X25="")),IF(AND(ISNUMBER(R25),ISNUMBER(Y25)),ABS(N(R25)-N(Y25))&lt;=Settings!$B$9*MAX(1,ABS(N(Y25))),AND(R25="",Y25="")),T25=Z25,IF(AND(ISNUMBER(U25),ISNUMBER(AA25)),ABS(N(U25)-N(AA25))&lt;=Settings!$B$9*MAX(1,ABS(N(AA25))),AND(U25="",AA25=""))),"ok","CHECK")</f>
        <v>ok</v>
      </c>
      <c r="AJ25" s="2"/>
      <c r="AK25" s="6" t="n">
        <f aca="false">IF(ISNUMBER(P25),1,0)</f>
        <v>1</v>
      </c>
      <c r="AL25" s="6" t="n">
        <f aca="false">COUNTIFS(Runs!$B$2:$B$61,B25,Runs!$E$2:$E$61,E25,Runs!$N$2:$N$61,N25,Runs!$AK$2:$AK$61,1)</f>
        <v>1</v>
      </c>
      <c r="AM25" s="6" t="n">
        <f aca="false">IF(AK25=1,AVERAGEIFS(Runs!$P$2:$P$61,Runs!$B$2:$B$61,B25,Runs!$E$2:$E$61,E25,Runs!$N$2:$N$61,N25,Runs!$AK$2:$AK$61,1),"")</f>
        <v>4.06044301054642</v>
      </c>
      <c r="AN25" s="6" t="n">
        <f aca="false">IF(AK25=1,IF(AL25&gt;1,(P25-AM25)^2*AL25/(AL25-1),0),0)</f>
        <v>0</v>
      </c>
      <c r="AO25" s="6" t="n">
        <f aca="false">IF(ISNUMBER(R25),1,0)</f>
        <v>1</v>
      </c>
      <c r="AP25" s="6" t="n">
        <f aca="false">COUNTIFS(Runs!$B$2:$B$61,B25,Runs!$E$2:$E$61,E25,Runs!$N$2:$N$61,N25,Runs!$AO$2:$AO$61,1)</f>
        <v>2</v>
      </c>
      <c r="AQ25" s="6" t="n">
        <f aca="false">IF(AO25=1,AVERAGEIFS(Runs!$R$2:$R$61,Runs!$B$2:$B$61,B25,Runs!$E$2:$E$61,E25,Runs!$N$2:$N$61,N25,Runs!$AO$2:$AO$61,1),"")</f>
        <v>92.595</v>
      </c>
      <c r="AR25" s="6" t="n">
        <f aca="false">IF(AO25=1,IF(AP25&gt;1,(R25-AQ25)^2*AP25/(AP25-1),0),0)</f>
        <v>109.66805</v>
      </c>
      <c r="AS25" s="6" t="n">
        <f aca="false">IF(ISNUMBER(J25),1,0)</f>
        <v>1</v>
      </c>
      <c r="AT25" s="6" t="n">
        <f aca="false">COUNTIFS(Runs!$B$2:$B$61,B25,Runs!$E$2:$E$61,E25,Runs!$N$2:$N$61,N25,Runs!$AS$2:$AS$61,1)</f>
        <v>2</v>
      </c>
      <c r="AU25" s="6" t="n">
        <f aca="false">IF(AS25=1,AVERAGEIFS(Runs!$J$2:$J$61,Runs!$B$2:$B$61,B25,Runs!$E$2:$E$61,E25,Runs!$N$2:$N$61,N25,Runs!$AS$2:$AS$61,1),"")</f>
        <v>0.9765625</v>
      </c>
      <c r="AV25" s="6" t="n">
        <f aca="false">IF(AS25=1,IF(AT25&gt;1,(J25-AU25)^2*AT25/(AT25-1),0),0)</f>
        <v>0.0010986328125</v>
      </c>
      <c r="AW25" s="6" t="n">
        <f aca="false">IF(ISNUMBER(Q25),1,0)</f>
        <v>1</v>
      </c>
      <c r="AX25" s="6" t="n">
        <f aca="false">COUNTIFS(Runs!$B$2:$B$61,B25,Runs!$E$2:$E$61,E25,Runs!$N$2:$N$61,N25,Runs!$AW$2:$AW$61,1)</f>
        <v>2</v>
      </c>
      <c r="AY25" s="6" t="n">
        <f aca="false">IF(AW25=1,AVERAGEIFS(Runs!$Q$2:$Q$61,Runs!$B$2:$B$61,B25,Runs!$E$2:$E$61,E25,Runs!$N$2:$N$61,N25,Runs!$AW$2:$AW$61,1),"")</f>
        <v>5.02075442521675</v>
      </c>
      <c r="AZ25" s="6" t="n">
        <f aca="false">IF(AW25=1,IF(AX25&gt;1,(Q25-AY25)^2*AX25/(AX25-1),0),0)</f>
        <v>0.0125174179131217</v>
      </c>
    </row>
    <row r="26" customFormat="false" ht="15" hidden="false" customHeight="false" outlineLevel="0" collapsed="false">
      <c r="A26" s="9" t="s">
        <v>141</v>
      </c>
      <c r="B26" s="9" t="s">
        <v>104</v>
      </c>
      <c r="C26" s="9" t="s">
        <v>135</v>
      </c>
      <c r="D26" s="9" t="s">
        <v>118</v>
      </c>
      <c r="E26" s="9" t="s">
        <v>107</v>
      </c>
      <c r="F26" s="9" t="n">
        <v>1</v>
      </c>
      <c r="G26" s="9" t="s">
        <v>108</v>
      </c>
      <c r="H26" s="9" t="n">
        <v>146</v>
      </c>
      <c r="I26" s="9" t="n">
        <v>0</v>
      </c>
      <c r="J26" s="9" t="n">
        <v>0</v>
      </c>
      <c r="K26" s="9"/>
      <c r="L26" s="9" t="n">
        <v>0</v>
      </c>
      <c r="M26" s="9" t="n">
        <v>1</v>
      </c>
      <c r="N26" s="6" t="str">
        <f aca="false">C26&amp;"|"&amp;D26</f>
        <v>message-board|interactive</v>
      </c>
      <c r="O26" s="6" t="n">
        <f aca="false">IF(G26="finished",0,1)</f>
        <v>0</v>
      </c>
      <c r="P26" s="6" t="n">
        <f aca="false">IF(O26=0,LN(H26),"")</f>
        <v>4.98360662170834</v>
      </c>
      <c r="Q26" s="6" t="str">
        <f aca="false">IF(ISNUMBER(K26),IF(K26&gt;0,LN(K26),""),"")</f>
        <v/>
      </c>
      <c r="R26" s="6" t="n">
        <f aca="false">IF(M26=1,INDEX(Quality!$AF:$AF,MATCH(A26,Quality!$A:$A,0)),"")</f>
        <v>18.52</v>
      </c>
      <c r="S26" s="6" t="n">
        <f aca="false">IF(R26="","",IF(T26=1,0,R26))</f>
        <v>18.52</v>
      </c>
      <c r="T26" s="6" t="n">
        <f aca="false">IF(M26=1,INDEX(Quality!$AG:$AG,MATCH(A26,Quality!$A:$A,0)),0)</f>
        <v>0</v>
      </c>
      <c r="U26" s="6" t="n">
        <f aca="false">IF(M26=1,INDEX(Quality!$AS:$AS,MATCH(A26,Quality!$A:$A,0)),"")</f>
        <v>0.25</v>
      </c>
      <c r="V26" s="9" t="n">
        <v>0</v>
      </c>
      <c r="W26" s="9" t="n">
        <v>4.98361</v>
      </c>
      <c r="X26" s="9"/>
      <c r="Y26" s="9" t="n">
        <v>18.52</v>
      </c>
      <c r="Z26" s="9" t="n">
        <v>0</v>
      </c>
      <c r="AA26" s="9" t="n">
        <v>0.25</v>
      </c>
      <c r="AB26" s="9" t="s">
        <v>108</v>
      </c>
      <c r="AC26" s="9" t="n">
        <v>146</v>
      </c>
      <c r="AD26" s="9" t="n">
        <v>0</v>
      </c>
      <c r="AE26" s="9"/>
      <c r="AF26" s="9" t="n">
        <v>0</v>
      </c>
      <c r="AG26" s="9" t="n">
        <v>0</v>
      </c>
      <c r="AH26" s="6" t="str">
        <f aca="false">IF(AND(G26=AB26,IF(AND(ISNUMBER(H26),ISNUMBER(AC26)),ABS(N(H26)-N(AC26))&lt;=Settings!$B$9*MAX(1,ABS(N(AC26))),AND(H26="",AC26="")),IF(AND(ISNUMBER(J26),ISNUMBER(AD26)),ABS(N(J26)-N(AD26))&lt;=Settings!$B$9*MAX(1,ABS(N(AD26))),AND(J26="",AD26="")),IF(AND(ISNUMBER(K26),ISNUMBER(AE26)),ABS(N(K26)-N(AE26))&lt;=Settings!$B$9*MAX(1,ABS(N(AE26))),AND(K26="",AE26="")),L26=AF26,I26=AG26),"ok","CHECK")</f>
        <v>ok</v>
      </c>
      <c r="AI26" s="6" t="str">
        <f aca="false">IF(AND(IF(AND(ISNUMBER(O26),ISNUMBER(V26)),ABS(N(O26)-N(V26))&lt;=Settings!$B$9*MAX(1,ABS(N(V26))),AND(O26="",V26="")),IF(AND(ISNUMBER(P26),ISNUMBER(W26)),ABS(N(P26)-N(W26))&lt;=Settings!$B$9*MAX(1,ABS(N(W26))),AND(P26="",W26="")),IF(AND(ISNUMBER(Q26),ISNUMBER(X26)),ABS(N(Q26)-N(X26))&lt;=Settings!$B$9*MAX(1,ABS(N(X26))),AND(Q26="",X26="")),IF(AND(ISNUMBER(R26),ISNUMBER(Y26)),ABS(N(R26)-N(Y26))&lt;=Settings!$B$9*MAX(1,ABS(N(Y26))),AND(R26="",Y26="")),T26=Z26,IF(AND(ISNUMBER(U26),ISNUMBER(AA26)),ABS(N(U26)-N(AA26))&lt;=Settings!$B$9*MAX(1,ABS(N(AA26))),AND(U26="",AA26=""))),"ok","CHECK")</f>
        <v>ok</v>
      </c>
      <c r="AJ26" s="2"/>
      <c r="AK26" s="6" t="n">
        <f aca="false">IF(ISNUMBER(P26),1,0)</f>
        <v>1</v>
      </c>
      <c r="AL26" s="6" t="n">
        <f aca="false">COUNTIFS(Runs!$B$2:$B$61,B26,Runs!$E$2:$E$61,E26,Runs!$N$2:$N$61,N26,Runs!$AK$2:$AK$61,1)</f>
        <v>2</v>
      </c>
      <c r="AM26" s="6" t="n">
        <f aca="false">IF(AK26=1,AVERAGEIFS(Runs!$P$2:$P$61,Runs!$B$2:$B$61,B26,Runs!$E$2:$E$61,E26,Runs!$N$2:$N$61,N26,Runs!$AK$2:$AK$61,1),"")</f>
        <v>4.46742517014488</v>
      </c>
      <c r="AN26" s="6" t="n">
        <f aca="false">IF(AK26=1,IF(AL26&gt;1,(P26-AM26)^2*AL26/(AL26-1),0),0)</f>
        <v>0.53288658187631</v>
      </c>
      <c r="AO26" s="6" t="n">
        <f aca="false">IF(ISNUMBER(R26),1,0)</f>
        <v>1</v>
      </c>
      <c r="AP26" s="6" t="n">
        <f aca="false">COUNTIFS(Runs!$B$2:$B$61,B26,Runs!$E$2:$E$61,E26,Runs!$N$2:$N$61,N26,Runs!$AO$2:$AO$61,1)</f>
        <v>2</v>
      </c>
      <c r="AQ26" s="6" t="n">
        <f aca="false">IF(AO26=1,AVERAGEIFS(Runs!$R$2:$R$61,Runs!$B$2:$B$61,B26,Runs!$E$2:$E$61,E26,Runs!$N$2:$N$61,N26,Runs!$AO$2:$AO$61,1),"")</f>
        <v>11.11</v>
      </c>
      <c r="AR26" s="6" t="n">
        <f aca="false">IF(AO26=1,IF(AP26&gt;1,(R26-AQ26)^2*AP26/(AP26-1),0),0)</f>
        <v>109.8162</v>
      </c>
      <c r="AS26" s="6" t="n">
        <f aca="false">IF(ISNUMBER(J26),1,0)</f>
        <v>1</v>
      </c>
      <c r="AT26" s="6" t="n">
        <f aca="false">COUNTIFS(Runs!$B$2:$B$61,B26,Runs!$E$2:$E$61,E26,Runs!$N$2:$N$61,N26,Runs!$AS$2:$AS$61,1)</f>
        <v>2</v>
      </c>
      <c r="AU26" s="6" t="n">
        <f aca="false">IF(AS26=1,AVERAGEIFS(Runs!$J$2:$J$61,Runs!$B$2:$B$61,B26,Runs!$E$2:$E$61,E26,Runs!$N$2:$N$61,N26,Runs!$AS$2:$AS$61,1),"")</f>
        <v>0</v>
      </c>
      <c r="AV26" s="6" t="n">
        <f aca="false">IF(AS26=1,IF(AT26&gt;1,(J26-AU26)^2*AT26/(AT26-1),0),0)</f>
        <v>0</v>
      </c>
      <c r="AW26" s="6" t="n">
        <f aca="false">IF(ISNUMBER(Q26),1,0)</f>
        <v>0</v>
      </c>
      <c r="AX26" s="6" t="n">
        <f aca="false">COUNTIFS(Runs!$B$2:$B$61,B26,Runs!$E$2:$E$61,E26,Runs!$N$2:$N$61,N26,Runs!$AW$2:$AW$61,1)</f>
        <v>0</v>
      </c>
      <c r="AY26" s="6" t="str">
        <f aca="false">IF(AW26=1,AVERAGEIFS(Runs!$Q$2:$Q$61,Runs!$B$2:$B$61,B26,Runs!$E$2:$E$61,E26,Runs!$N$2:$N$61,N26,Runs!$AW$2:$AW$61,1),"")</f>
        <v/>
      </c>
      <c r="AZ26" s="6" t="n">
        <f aca="false">IF(AW26=1,IF(AX26&gt;1,(Q26-AY26)^2*AX26/(AX26-1),0),0)</f>
        <v>0</v>
      </c>
    </row>
    <row r="27" customFormat="false" ht="15" hidden="false" customHeight="false" outlineLevel="0" collapsed="false">
      <c r="A27" s="9" t="s">
        <v>142</v>
      </c>
      <c r="B27" s="9" t="s">
        <v>104</v>
      </c>
      <c r="C27" s="9" t="s">
        <v>135</v>
      </c>
      <c r="D27" s="9" t="s">
        <v>118</v>
      </c>
      <c r="E27" s="9" t="s">
        <v>107</v>
      </c>
      <c r="F27" s="9" t="n">
        <v>2</v>
      </c>
      <c r="G27" s="9" t="s">
        <v>108</v>
      </c>
      <c r="H27" s="9" t="n">
        <v>52</v>
      </c>
      <c r="I27" s="9" t="n">
        <v>0</v>
      </c>
      <c r="J27" s="9" t="n">
        <v>0</v>
      </c>
      <c r="K27" s="9"/>
      <c r="L27" s="9" t="n">
        <v>0</v>
      </c>
      <c r="M27" s="9" t="n">
        <v>1</v>
      </c>
      <c r="N27" s="6" t="str">
        <f aca="false">C27&amp;"|"&amp;D27</f>
        <v>message-board|interactive</v>
      </c>
      <c r="O27" s="6" t="n">
        <f aca="false">IF(G27="finished",0,1)</f>
        <v>0</v>
      </c>
      <c r="P27" s="6" t="n">
        <f aca="false">IF(O27=0,LN(H27),"")</f>
        <v>3.95124371858143</v>
      </c>
      <c r="Q27" s="6" t="str">
        <f aca="false">IF(ISNUMBER(K27),IF(K27&gt;0,LN(K27),""),"")</f>
        <v/>
      </c>
      <c r="R27" s="6" t="n">
        <f aca="false">IF(M27=1,INDEX(Quality!$AF:$AF,MATCH(A27,Quality!$A:$A,0)),"")</f>
        <v>3.7</v>
      </c>
      <c r="S27" s="6" t="n">
        <f aca="false">IF(R27="","",IF(T27=1,0,R27))</f>
        <v>0</v>
      </c>
      <c r="T27" s="6" t="n">
        <f aca="false">IF(M27=1,INDEX(Quality!$AG:$AG,MATCH(A27,Quality!$A:$A,0)),0)</f>
        <v>1</v>
      </c>
      <c r="U27" s="6" t="n">
        <f aca="false">IF(M27=1,INDEX(Quality!$AS:$AS,MATCH(A27,Quality!$A:$A,0)),"")</f>
        <v>0.75</v>
      </c>
      <c r="V27" s="9" t="n">
        <v>0</v>
      </c>
      <c r="W27" s="9" t="n">
        <v>3.95124</v>
      </c>
      <c r="X27" s="9"/>
      <c r="Y27" s="9" t="n">
        <v>3.7</v>
      </c>
      <c r="Z27" s="9" t="n">
        <v>1</v>
      </c>
      <c r="AA27" s="9" t="n">
        <v>0.75</v>
      </c>
      <c r="AB27" s="9" t="s">
        <v>108</v>
      </c>
      <c r="AC27" s="9" t="n">
        <v>52</v>
      </c>
      <c r="AD27" s="9" t="n">
        <v>0</v>
      </c>
      <c r="AE27" s="9"/>
      <c r="AF27" s="9" t="n">
        <v>0</v>
      </c>
      <c r="AG27" s="9" t="n">
        <v>0</v>
      </c>
      <c r="AH27" s="6" t="str">
        <f aca="false">IF(AND(G27=AB27,IF(AND(ISNUMBER(H27),ISNUMBER(AC27)),ABS(N(H27)-N(AC27))&lt;=Settings!$B$9*MAX(1,ABS(N(AC27))),AND(H27="",AC27="")),IF(AND(ISNUMBER(J27),ISNUMBER(AD27)),ABS(N(J27)-N(AD27))&lt;=Settings!$B$9*MAX(1,ABS(N(AD27))),AND(J27="",AD27="")),IF(AND(ISNUMBER(K27),ISNUMBER(AE27)),ABS(N(K27)-N(AE27))&lt;=Settings!$B$9*MAX(1,ABS(N(AE27))),AND(K27="",AE27="")),L27=AF27,I27=AG27),"ok","CHECK")</f>
        <v>ok</v>
      </c>
      <c r="AI27" s="6" t="str">
        <f aca="false">IF(AND(IF(AND(ISNUMBER(O27),ISNUMBER(V27)),ABS(N(O27)-N(V27))&lt;=Settings!$B$9*MAX(1,ABS(N(V27))),AND(O27="",V27="")),IF(AND(ISNUMBER(P27),ISNUMBER(W27)),ABS(N(P27)-N(W27))&lt;=Settings!$B$9*MAX(1,ABS(N(W27))),AND(P27="",W27="")),IF(AND(ISNUMBER(Q27),ISNUMBER(X27)),ABS(N(Q27)-N(X27))&lt;=Settings!$B$9*MAX(1,ABS(N(X27))),AND(Q27="",X27="")),IF(AND(ISNUMBER(R27),ISNUMBER(Y27)),ABS(N(R27)-N(Y27))&lt;=Settings!$B$9*MAX(1,ABS(N(Y27))),AND(R27="",Y27="")),T27=Z27,IF(AND(ISNUMBER(U27),ISNUMBER(AA27)),ABS(N(U27)-N(AA27))&lt;=Settings!$B$9*MAX(1,ABS(N(AA27))),AND(U27="",AA27=""))),"ok","CHECK")</f>
        <v>ok</v>
      </c>
      <c r="AJ27" s="2"/>
      <c r="AK27" s="6" t="n">
        <f aca="false">IF(ISNUMBER(P27),1,0)</f>
        <v>1</v>
      </c>
      <c r="AL27" s="6" t="n">
        <f aca="false">COUNTIFS(Runs!$B$2:$B$61,B27,Runs!$E$2:$E$61,E27,Runs!$N$2:$N$61,N27,Runs!$AK$2:$AK$61,1)</f>
        <v>2</v>
      </c>
      <c r="AM27" s="6" t="n">
        <f aca="false">IF(AK27=1,AVERAGEIFS(Runs!$P$2:$P$61,Runs!$B$2:$B$61,B27,Runs!$E$2:$E$61,E27,Runs!$N$2:$N$61,N27,Runs!$AK$2:$AK$61,1),"")</f>
        <v>4.46742517014488</v>
      </c>
      <c r="AN27" s="6" t="n">
        <f aca="false">IF(AK27=1,IF(AL27&gt;1,(P27-AM27)^2*AL27/(AL27-1),0),0)</f>
        <v>0.532886581876309</v>
      </c>
      <c r="AO27" s="6" t="n">
        <f aca="false">IF(ISNUMBER(R27),1,0)</f>
        <v>1</v>
      </c>
      <c r="AP27" s="6" t="n">
        <f aca="false">COUNTIFS(Runs!$B$2:$B$61,B27,Runs!$E$2:$E$61,E27,Runs!$N$2:$N$61,N27,Runs!$AO$2:$AO$61,1)</f>
        <v>2</v>
      </c>
      <c r="AQ27" s="6" t="n">
        <f aca="false">IF(AO27=1,AVERAGEIFS(Runs!$R$2:$R$61,Runs!$B$2:$B$61,B27,Runs!$E$2:$E$61,E27,Runs!$N$2:$N$61,N27,Runs!$AO$2:$AO$61,1),"")</f>
        <v>11.11</v>
      </c>
      <c r="AR27" s="6" t="n">
        <f aca="false">IF(AO27=1,IF(AP27&gt;1,(R27-AQ27)^2*AP27/(AP27-1),0),0)</f>
        <v>109.8162</v>
      </c>
      <c r="AS27" s="6" t="n">
        <f aca="false">IF(ISNUMBER(J27),1,0)</f>
        <v>1</v>
      </c>
      <c r="AT27" s="6" t="n">
        <f aca="false">COUNTIFS(Runs!$B$2:$B$61,B27,Runs!$E$2:$E$61,E27,Runs!$N$2:$N$61,N27,Runs!$AS$2:$AS$61,1)</f>
        <v>2</v>
      </c>
      <c r="AU27" s="6" t="n">
        <f aca="false">IF(AS27=1,AVERAGEIFS(Runs!$J$2:$J$61,Runs!$B$2:$B$61,B27,Runs!$E$2:$E$61,E27,Runs!$N$2:$N$61,N27,Runs!$AS$2:$AS$61,1),"")</f>
        <v>0</v>
      </c>
      <c r="AV27" s="6" t="n">
        <f aca="false">IF(AS27=1,IF(AT27&gt;1,(J27-AU27)^2*AT27/(AT27-1),0),0)</f>
        <v>0</v>
      </c>
      <c r="AW27" s="6" t="n">
        <f aca="false">IF(ISNUMBER(Q27),1,0)</f>
        <v>0</v>
      </c>
      <c r="AX27" s="6" t="n">
        <f aca="false">COUNTIFS(Runs!$B$2:$B$61,B27,Runs!$E$2:$E$61,E27,Runs!$N$2:$N$61,N27,Runs!$AW$2:$AW$61,1)</f>
        <v>0</v>
      </c>
      <c r="AY27" s="6" t="str">
        <f aca="false">IF(AW27=1,AVERAGEIFS(Runs!$Q$2:$Q$61,Runs!$B$2:$B$61,B27,Runs!$E$2:$E$61,E27,Runs!$N$2:$N$61,N27,Runs!$AW$2:$AW$61,1),"")</f>
        <v/>
      </c>
      <c r="AZ27" s="6" t="n">
        <f aca="false">IF(AW27=1,IF(AX27&gt;1,(Q27-AY27)^2*AX27/(AX27-1),0),0)</f>
        <v>0</v>
      </c>
    </row>
    <row r="28" customFormat="false" ht="15" hidden="false" customHeight="false" outlineLevel="0" collapsed="false">
      <c r="A28" s="9" t="s">
        <v>143</v>
      </c>
      <c r="B28" s="9" t="s">
        <v>104</v>
      </c>
      <c r="C28" s="9" t="s">
        <v>135</v>
      </c>
      <c r="D28" s="9" t="s">
        <v>118</v>
      </c>
      <c r="E28" s="9" t="s">
        <v>111</v>
      </c>
      <c r="F28" s="9" t="n">
        <v>1</v>
      </c>
      <c r="G28" s="9" t="s">
        <v>108</v>
      </c>
      <c r="H28" s="9" t="n">
        <v>109</v>
      </c>
      <c r="I28" s="9" t="n">
        <v>0</v>
      </c>
      <c r="J28" s="9" t="n">
        <v>0.66055</v>
      </c>
      <c r="K28" s="9" t="n">
        <v>421</v>
      </c>
      <c r="L28" s="9" t="n">
        <v>0</v>
      </c>
      <c r="M28" s="9" t="n">
        <v>1</v>
      </c>
      <c r="N28" s="6" t="str">
        <f aca="false">C28&amp;"|"&amp;D28</f>
        <v>message-board|interactive</v>
      </c>
      <c r="O28" s="6" t="n">
        <f aca="false">IF(G28="finished",0,1)</f>
        <v>0</v>
      </c>
      <c r="P28" s="6" t="n">
        <f aca="false">IF(O28=0,LN(H28),"")</f>
        <v>4.69134788222914</v>
      </c>
      <c r="Q28" s="6" t="n">
        <f aca="false">IF(ISNUMBER(K28),IF(K28&gt;0,LN(K28),""),"")</f>
        <v>6.04263283368238</v>
      </c>
      <c r="R28" s="6" t="n">
        <f aca="false">IF(M28=1,INDEX(Quality!$AF:$AF,MATCH(A28,Quality!$A:$A,0)),"")</f>
        <v>92.59</v>
      </c>
      <c r="S28" s="6" t="n">
        <f aca="false">IF(R28="","",IF(T28=1,0,R28))</f>
        <v>92.59</v>
      </c>
      <c r="T28" s="6" t="n">
        <f aca="false">IF(M28=1,INDEX(Quality!$AG:$AG,MATCH(A28,Quality!$A:$A,0)),0)</f>
        <v>0</v>
      </c>
      <c r="U28" s="6" t="n">
        <f aca="false">IF(M28=1,INDEX(Quality!$AS:$AS,MATCH(A28,Quality!$A:$A,0)),"")</f>
        <v>0.5</v>
      </c>
      <c r="V28" s="9" t="n">
        <v>0</v>
      </c>
      <c r="W28" s="9" t="n">
        <v>4.69135</v>
      </c>
      <c r="X28" s="9" t="n">
        <v>6.04263</v>
      </c>
      <c r="Y28" s="9" t="n">
        <v>92.59</v>
      </c>
      <c r="Z28" s="9" t="n">
        <v>0</v>
      </c>
      <c r="AA28" s="9" t="n">
        <v>0.5</v>
      </c>
      <c r="AB28" s="9" t="s">
        <v>108</v>
      </c>
      <c r="AC28" s="9" t="n">
        <v>109</v>
      </c>
      <c r="AD28" s="9" t="n">
        <v>0.660550458715596</v>
      </c>
      <c r="AE28" s="9" t="n">
        <v>421</v>
      </c>
      <c r="AF28" s="9" t="n">
        <v>0</v>
      </c>
      <c r="AG28" s="9" t="n">
        <v>0</v>
      </c>
      <c r="AH28" s="6" t="str">
        <f aca="false">IF(AND(G28=AB28,IF(AND(ISNUMBER(H28),ISNUMBER(AC28)),ABS(N(H28)-N(AC28))&lt;=Settings!$B$9*MAX(1,ABS(N(AC28))),AND(H28="",AC28="")),IF(AND(ISNUMBER(J28),ISNUMBER(AD28)),ABS(N(J28)-N(AD28))&lt;=Settings!$B$9*MAX(1,ABS(N(AD28))),AND(J28="",AD28="")),IF(AND(ISNUMBER(K28),ISNUMBER(AE28)),ABS(N(K28)-N(AE28))&lt;=Settings!$B$9*MAX(1,ABS(N(AE28))),AND(K28="",AE28="")),L28=AF28,I28=AG28),"ok","CHECK")</f>
        <v>ok</v>
      </c>
      <c r="AI28" s="6" t="str">
        <f aca="false">IF(AND(IF(AND(ISNUMBER(O28),ISNUMBER(V28)),ABS(N(O28)-N(V28))&lt;=Settings!$B$9*MAX(1,ABS(N(V28))),AND(O28="",V28="")),IF(AND(ISNUMBER(P28),ISNUMBER(W28)),ABS(N(P28)-N(W28))&lt;=Settings!$B$9*MAX(1,ABS(N(W28))),AND(P28="",W28="")),IF(AND(ISNUMBER(Q28),ISNUMBER(X28)),ABS(N(Q28)-N(X28))&lt;=Settings!$B$9*MAX(1,ABS(N(X28))),AND(Q28="",X28="")),IF(AND(ISNUMBER(R28),ISNUMBER(Y28)),ABS(N(R28)-N(Y28))&lt;=Settings!$B$9*MAX(1,ABS(N(Y28))),AND(R28="",Y28="")),T28=Z28,IF(AND(ISNUMBER(U28),ISNUMBER(AA28)),ABS(N(U28)-N(AA28))&lt;=Settings!$B$9*MAX(1,ABS(N(AA28))),AND(U28="",AA28=""))),"ok","CHECK")</f>
        <v>ok</v>
      </c>
      <c r="AJ28" s="2"/>
      <c r="AK28" s="6" t="n">
        <f aca="false">IF(ISNUMBER(P28),1,0)</f>
        <v>1</v>
      </c>
      <c r="AL28" s="6" t="n">
        <f aca="false">COUNTIFS(Runs!$B$2:$B$61,B28,Runs!$E$2:$E$61,E28,Runs!$N$2:$N$61,N28,Runs!$AK$2:$AK$61,1)</f>
        <v>1</v>
      </c>
      <c r="AM28" s="6" t="n">
        <f aca="false">IF(AK28=1,AVERAGEIFS(Runs!$P$2:$P$61,Runs!$B$2:$B$61,B28,Runs!$E$2:$E$61,E28,Runs!$N$2:$N$61,N28,Runs!$AK$2:$AK$61,1),"")</f>
        <v>4.69134788222914</v>
      </c>
      <c r="AN28" s="6" t="n">
        <f aca="false">IF(AK28=1,IF(AL28&gt;1,(P28-AM28)^2*AL28/(AL28-1),0),0)</f>
        <v>0</v>
      </c>
      <c r="AO28" s="6" t="n">
        <f aca="false">IF(ISNUMBER(R28),1,0)</f>
        <v>1</v>
      </c>
      <c r="AP28" s="6" t="n">
        <f aca="false">COUNTIFS(Runs!$B$2:$B$61,B28,Runs!$E$2:$E$61,E28,Runs!$N$2:$N$61,N28,Runs!$AO$2:$AO$61,1)</f>
        <v>2</v>
      </c>
      <c r="AQ28" s="6" t="n">
        <f aca="false">IF(AO28=1,AVERAGEIFS(Runs!$R$2:$R$61,Runs!$B$2:$B$61,B28,Runs!$E$2:$E$61,E28,Runs!$N$2:$N$61,N28,Runs!$AO$2:$AO$61,1),"")</f>
        <v>96.295</v>
      </c>
      <c r="AR28" s="6" t="n">
        <f aca="false">IF(AO28=1,IF(AP28&gt;1,(R28-AQ28)^2*AP28/(AP28-1),0),0)</f>
        <v>27.45405</v>
      </c>
      <c r="AS28" s="6" t="n">
        <f aca="false">IF(ISNUMBER(J28),1,0)</f>
        <v>1</v>
      </c>
      <c r="AT28" s="6" t="n">
        <f aca="false">COUNTIFS(Runs!$B$2:$B$61,B28,Runs!$E$2:$E$61,E28,Runs!$N$2:$N$61,N28,Runs!$AS$2:$AS$61,1)</f>
        <v>2</v>
      </c>
      <c r="AU28" s="6" t="n">
        <f aca="false">IF(AS28=1,AVERAGEIFS(Runs!$J$2:$J$61,Runs!$B$2:$B$61,B28,Runs!$E$2:$E$61,E28,Runs!$N$2:$N$61,N28,Runs!$AS$2:$AS$61,1),"")</f>
        <v>0.7469415</v>
      </c>
      <c r="AV28" s="6" t="n">
        <f aca="false">IF(AS28=1,IF(AT28&gt;1,(J28-AU28)^2*AT28/(AT28-1),0),0)</f>
        <v>0.0149269825445</v>
      </c>
      <c r="AW28" s="6" t="n">
        <f aca="false">IF(ISNUMBER(Q28),1,0)</f>
        <v>1</v>
      </c>
      <c r="AX28" s="6" t="n">
        <f aca="false">COUNTIFS(Runs!$B$2:$B$61,B28,Runs!$E$2:$E$61,E28,Runs!$N$2:$N$61,N28,Runs!$AW$2:$AW$61,1)</f>
        <v>2</v>
      </c>
      <c r="AY28" s="6" t="n">
        <f aca="false">IF(AW28=1,AVERAGEIFS(Runs!$Q$2:$Q$61,Runs!$B$2:$B$61,B28,Runs!$E$2:$E$61,E28,Runs!$N$2:$N$61,N28,Runs!$AW$2:$AW$61,1),"")</f>
        <v>5.9900845193824</v>
      </c>
      <c r="AZ28" s="6" t="n">
        <f aca="false">IF(AW28=1,IF(AX28&gt;1,(Q28-AY28)^2*AX28/(AX28-1),0),0)</f>
        <v>0.00552265067153852</v>
      </c>
    </row>
    <row r="29" customFormat="false" ht="15" hidden="false" customHeight="false" outlineLevel="0" collapsed="false">
      <c r="A29" s="9" t="s">
        <v>144</v>
      </c>
      <c r="B29" s="9" t="s">
        <v>104</v>
      </c>
      <c r="C29" s="9" t="s">
        <v>135</v>
      </c>
      <c r="D29" s="9" t="s">
        <v>118</v>
      </c>
      <c r="E29" s="9" t="s">
        <v>111</v>
      </c>
      <c r="F29" s="9" t="n">
        <v>2</v>
      </c>
      <c r="G29" s="9" t="s">
        <v>145</v>
      </c>
      <c r="H29" s="9" t="n">
        <v>48</v>
      </c>
      <c r="I29" s="9" t="n">
        <v>1</v>
      </c>
      <c r="J29" s="9" t="n">
        <v>0.833333</v>
      </c>
      <c r="K29" s="9" t="n">
        <v>379</v>
      </c>
      <c r="L29" s="9" t="n">
        <v>0</v>
      </c>
      <c r="M29" s="9" t="n">
        <v>1</v>
      </c>
      <c r="N29" s="6" t="str">
        <f aca="false">C29&amp;"|"&amp;D29</f>
        <v>message-board|interactive</v>
      </c>
      <c r="O29" s="6" t="n">
        <f aca="false">IF(G29="finished",0,1)</f>
        <v>1</v>
      </c>
      <c r="P29" s="6" t="str">
        <f aca="false">IF(O29=0,LN(H29),"")</f>
        <v/>
      </c>
      <c r="Q29" s="6" t="n">
        <f aca="false">IF(ISNUMBER(K29),IF(K29&gt;0,LN(K29),""),"")</f>
        <v>5.93753620508243</v>
      </c>
      <c r="R29" s="6" t="n">
        <f aca="false">IF(M29=1,INDEX(Quality!$AF:$AF,MATCH(A29,Quality!$A:$A,0)),"")</f>
        <v>100</v>
      </c>
      <c r="S29" s="6" t="n">
        <f aca="false">IF(R29="","",IF(T29=1,0,R29))</f>
        <v>100</v>
      </c>
      <c r="T29" s="6" t="n">
        <f aca="false">IF(M29=1,INDEX(Quality!$AG:$AG,MATCH(A29,Quality!$A:$A,0)),0)</f>
        <v>0</v>
      </c>
      <c r="U29" s="6" t="n">
        <f aca="false">IF(M29=1,INDEX(Quality!$AS:$AS,MATCH(A29,Quality!$A:$A,0)),"")</f>
        <v>0.25</v>
      </c>
      <c r="V29" s="9" t="n">
        <v>1</v>
      </c>
      <c r="W29" s="9"/>
      <c r="X29" s="9" t="n">
        <v>5.93754</v>
      </c>
      <c r="Y29" s="9" t="n">
        <v>100</v>
      </c>
      <c r="Z29" s="9" t="n">
        <v>0</v>
      </c>
      <c r="AA29" s="9" t="n">
        <v>0.25</v>
      </c>
      <c r="AB29" s="9" t="s">
        <v>145</v>
      </c>
      <c r="AC29" s="9" t="n">
        <v>48</v>
      </c>
      <c r="AD29" s="9" t="n">
        <v>0.833333333333333</v>
      </c>
      <c r="AE29" s="9" t="n">
        <v>379</v>
      </c>
      <c r="AF29" s="9" t="n">
        <v>0</v>
      </c>
      <c r="AG29" s="9" t="n">
        <v>1</v>
      </c>
      <c r="AH29" s="6" t="str">
        <f aca="false">IF(AND(G29=AB29,IF(AND(ISNUMBER(H29),ISNUMBER(AC29)),ABS(N(H29)-N(AC29))&lt;=Settings!$B$9*MAX(1,ABS(N(AC29))),AND(H29="",AC29="")),IF(AND(ISNUMBER(J29),ISNUMBER(AD29)),ABS(N(J29)-N(AD29))&lt;=Settings!$B$9*MAX(1,ABS(N(AD29))),AND(J29="",AD29="")),IF(AND(ISNUMBER(K29),ISNUMBER(AE29)),ABS(N(K29)-N(AE29))&lt;=Settings!$B$9*MAX(1,ABS(N(AE29))),AND(K29="",AE29="")),L29=AF29,I29=AG29),"ok","CHECK")</f>
        <v>ok</v>
      </c>
      <c r="AI29" s="6" t="str">
        <f aca="false">IF(AND(IF(AND(ISNUMBER(O29),ISNUMBER(V29)),ABS(N(O29)-N(V29))&lt;=Settings!$B$9*MAX(1,ABS(N(V29))),AND(O29="",V29="")),IF(AND(ISNUMBER(P29),ISNUMBER(W29)),ABS(N(P29)-N(W29))&lt;=Settings!$B$9*MAX(1,ABS(N(W29))),AND(P29="",W29="")),IF(AND(ISNUMBER(Q29),ISNUMBER(X29)),ABS(N(Q29)-N(X29))&lt;=Settings!$B$9*MAX(1,ABS(N(X29))),AND(Q29="",X29="")),IF(AND(ISNUMBER(R29),ISNUMBER(Y29)),ABS(N(R29)-N(Y29))&lt;=Settings!$B$9*MAX(1,ABS(N(Y29))),AND(R29="",Y29="")),T29=Z29,IF(AND(ISNUMBER(U29),ISNUMBER(AA29)),ABS(N(U29)-N(AA29))&lt;=Settings!$B$9*MAX(1,ABS(N(AA29))),AND(U29="",AA29=""))),"ok","CHECK")</f>
        <v>ok</v>
      </c>
      <c r="AJ29" s="2"/>
      <c r="AK29" s="6" t="n">
        <f aca="false">IF(ISNUMBER(P29),1,0)</f>
        <v>0</v>
      </c>
      <c r="AL29" s="6" t="n">
        <f aca="false">COUNTIFS(Runs!$B$2:$B$61,B29,Runs!$E$2:$E$61,E29,Runs!$N$2:$N$61,N29,Runs!$AK$2:$AK$61,1)</f>
        <v>1</v>
      </c>
      <c r="AM29" s="6" t="str">
        <f aca="false">IF(AK29=1,AVERAGEIFS(Runs!$P$2:$P$61,Runs!$B$2:$B$61,B29,Runs!$E$2:$E$61,E29,Runs!$N$2:$N$61,N29,Runs!$AK$2:$AK$61,1),"")</f>
        <v/>
      </c>
      <c r="AN29" s="6" t="n">
        <f aca="false">IF(AK29=1,IF(AL29&gt;1,(P29-AM29)^2*AL29/(AL29-1),0),0)</f>
        <v>0</v>
      </c>
      <c r="AO29" s="6" t="n">
        <f aca="false">IF(ISNUMBER(R29),1,0)</f>
        <v>1</v>
      </c>
      <c r="AP29" s="6" t="n">
        <f aca="false">COUNTIFS(Runs!$B$2:$B$61,B29,Runs!$E$2:$E$61,E29,Runs!$N$2:$N$61,N29,Runs!$AO$2:$AO$61,1)</f>
        <v>2</v>
      </c>
      <c r="AQ29" s="6" t="n">
        <f aca="false">IF(AO29=1,AVERAGEIFS(Runs!$R$2:$R$61,Runs!$B$2:$B$61,B29,Runs!$E$2:$E$61,E29,Runs!$N$2:$N$61,N29,Runs!$AO$2:$AO$61,1),"")</f>
        <v>96.295</v>
      </c>
      <c r="AR29" s="6" t="n">
        <f aca="false">IF(AO29=1,IF(AP29&gt;1,(R29-AQ29)^2*AP29/(AP29-1),0),0)</f>
        <v>27.45405</v>
      </c>
      <c r="AS29" s="6" t="n">
        <f aca="false">IF(ISNUMBER(J29),1,0)</f>
        <v>1</v>
      </c>
      <c r="AT29" s="6" t="n">
        <f aca="false">COUNTIFS(Runs!$B$2:$B$61,B29,Runs!$E$2:$E$61,E29,Runs!$N$2:$N$61,N29,Runs!$AS$2:$AS$61,1)</f>
        <v>2</v>
      </c>
      <c r="AU29" s="6" t="n">
        <f aca="false">IF(AS29=1,AVERAGEIFS(Runs!$J$2:$J$61,Runs!$B$2:$B$61,B29,Runs!$E$2:$E$61,E29,Runs!$N$2:$N$61,N29,Runs!$AS$2:$AS$61,1),"")</f>
        <v>0.7469415</v>
      </c>
      <c r="AV29" s="6" t="n">
        <f aca="false">IF(AS29=1,IF(AT29&gt;1,(J29-AU29)^2*AT29/(AT29-1),0),0)</f>
        <v>0.0149269825445</v>
      </c>
      <c r="AW29" s="6" t="n">
        <f aca="false">IF(ISNUMBER(Q29),1,0)</f>
        <v>1</v>
      </c>
      <c r="AX29" s="6" t="n">
        <f aca="false">COUNTIFS(Runs!$B$2:$B$61,B29,Runs!$E$2:$E$61,E29,Runs!$N$2:$N$61,N29,Runs!$AW$2:$AW$61,1)</f>
        <v>2</v>
      </c>
      <c r="AY29" s="6" t="n">
        <f aca="false">IF(AW29=1,AVERAGEIFS(Runs!$Q$2:$Q$61,Runs!$B$2:$B$61,B29,Runs!$E$2:$E$61,E29,Runs!$N$2:$N$61,N29,Runs!$AW$2:$AW$61,1),"")</f>
        <v>5.9900845193824</v>
      </c>
      <c r="AZ29" s="6" t="n">
        <f aca="false">IF(AW29=1,IF(AX29&gt;1,(Q29-AY29)^2*AX29/(AX29-1),0),0)</f>
        <v>0.00552265067153833</v>
      </c>
    </row>
    <row r="30" customFormat="false" ht="15" hidden="false" customHeight="false" outlineLevel="0" collapsed="false">
      <c r="A30" s="9" t="s">
        <v>146</v>
      </c>
      <c r="B30" s="9" t="s">
        <v>104</v>
      </c>
      <c r="C30" s="9" t="s">
        <v>135</v>
      </c>
      <c r="D30" s="9" t="s">
        <v>118</v>
      </c>
      <c r="E30" s="9" t="s">
        <v>115</v>
      </c>
      <c r="F30" s="9" t="n">
        <v>1</v>
      </c>
      <c r="G30" s="9" t="s">
        <v>108</v>
      </c>
      <c r="H30" s="9" t="n">
        <v>33</v>
      </c>
      <c r="I30" s="9" t="n">
        <v>0</v>
      </c>
      <c r="J30" s="9" t="n">
        <v>0.939394</v>
      </c>
      <c r="K30" s="9" t="n">
        <v>161</v>
      </c>
      <c r="L30" s="9" t="n">
        <v>0</v>
      </c>
      <c r="M30" s="9" t="n">
        <v>1</v>
      </c>
      <c r="N30" s="6" t="str">
        <f aca="false">C30&amp;"|"&amp;D30</f>
        <v>message-board|interactive</v>
      </c>
      <c r="O30" s="6" t="n">
        <f aca="false">IF(G30="finished",0,1)</f>
        <v>0</v>
      </c>
      <c r="P30" s="6" t="n">
        <f aca="false">IF(O30=0,LN(H30),"")</f>
        <v>3.49650756146648</v>
      </c>
      <c r="Q30" s="6" t="n">
        <f aca="false">IF(ISNUMBER(K30),IF(K30&gt;0,LN(K30),""),"")</f>
        <v>5.08140436498446</v>
      </c>
      <c r="R30" s="6" t="n">
        <f aca="false">IF(M30=1,INDEX(Quality!$AF:$AF,MATCH(A30,Quality!$A:$A,0)),"")</f>
        <v>85.19</v>
      </c>
      <c r="S30" s="6" t="n">
        <f aca="false">IF(R30="","",IF(T30=1,0,R30))</f>
        <v>85.19</v>
      </c>
      <c r="T30" s="6" t="n">
        <f aca="false">IF(M30=1,INDEX(Quality!$AG:$AG,MATCH(A30,Quality!$A:$A,0)),0)</f>
        <v>0</v>
      </c>
      <c r="U30" s="6" t="n">
        <f aca="false">IF(M30=1,INDEX(Quality!$AS:$AS,MATCH(A30,Quality!$A:$A,0)),"")</f>
        <v>0.75</v>
      </c>
      <c r="V30" s="9" t="n">
        <v>0</v>
      </c>
      <c r="W30" s="9" t="n">
        <v>3.49651</v>
      </c>
      <c r="X30" s="9" t="n">
        <v>5.0814</v>
      </c>
      <c r="Y30" s="9" t="n">
        <v>85.19</v>
      </c>
      <c r="Z30" s="9" t="n">
        <v>0</v>
      </c>
      <c r="AA30" s="9" t="n">
        <v>0.75</v>
      </c>
      <c r="AB30" s="9" t="s">
        <v>108</v>
      </c>
      <c r="AC30" s="9" t="n">
        <v>33</v>
      </c>
      <c r="AD30" s="9" t="n">
        <v>0.939393939393939</v>
      </c>
      <c r="AE30" s="9" t="n">
        <v>161</v>
      </c>
      <c r="AF30" s="9" t="n">
        <v>0</v>
      </c>
      <c r="AG30" s="9" t="n">
        <v>0</v>
      </c>
      <c r="AH30" s="6" t="str">
        <f aca="false">IF(AND(G30=AB30,IF(AND(ISNUMBER(H30),ISNUMBER(AC30)),ABS(N(H30)-N(AC30))&lt;=Settings!$B$9*MAX(1,ABS(N(AC30))),AND(H30="",AC30="")),IF(AND(ISNUMBER(J30),ISNUMBER(AD30)),ABS(N(J30)-N(AD30))&lt;=Settings!$B$9*MAX(1,ABS(N(AD30))),AND(J30="",AD30="")),IF(AND(ISNUMBER(K30),ISNUMBER(AE30)),ABS(N(K30)-N(AE30))&lt;=Settings!$B$9*MAX(1,ABS(N(AE30))),AND(K30="",AE30="")),L30=AF30,I30=AG30),"ok","CHECK")</f>
        <v>ok</v>
      </c>
      <c r="AI30" s="6" t="str">
        <f aca="false">IF(AND(IF(AND(ISNUMBER(O30),ISNUMBER(V30)),ABS(N(O30)-N(V30))&lt;=Settings!$B$9*MAX(1,ABS(N(V30))),AND(O30="",V30="")),IF(AND(ISNUMBER(P30),ISNUMBER(W30)),ABS(N(P30)-N(W30))&lt;=Settings!$B$9*MAX(1,ABS(N(W30))),AND(P30="",W30="")),IF(AND(ISNUMBER(Q30),ISNUMBER(X30)),ABS(N(Q30)-N(X30))&lt;=Settings!$B$9*MAX(1,ABS(N(X30))),AND(Q30="",X30="")),IF(AND(ISNUMBER(R30),ISNUMBER(Y30)),ABS(N(R30)-N(Y30))&lt;=Settings!$B$9*MAX(1,ABS(N(Y30))),AND(R30="",Y30="")),T30=Z30,IF(AND(ISNUMBER(U30),ISNUMBER(AA30)),ABS(N(U30)-N(AA30))&lt;=Settings!$B$9*MAX(1,ABS(N(AA30))),AND(U30="",AA30=""))),"ok","CHECK")</f>
        <v>ok</v>
      </c>
      <c r="AJ30" s="2"/>
      <c r="AK30" s="6" t="n">
        <f aca="false">IF(ISNUMBER(P30),1,0)</f>
        <v>1</v>
      </c>
      <c r="AL30" s="6" t="n">
        <f aca="false">COUNTIFS(Runs!$B$2:$B$61,B30,Runs!$E$2:$E$61,E30,Runs!$N$2:$N$61,N30,Runs!$AK$2:$AK$61,1)</f>
        <v>2</v>
      </c>
      <c r="AM30" s="6" t="n">
        <f aca="false">IF(AK30=1,AVERAGEIFS(Runs!$P$2:$P$61,Runs!$B$2:$B$61,B30,Runs!$E$2:$E$61,E30,Runs!$N$2:$N$61,N30,Runs!$AK$2:$AK$61,1),"")</f>
        <v>3.22047327031646</v>
      </c>
      <c r="AN30" s="6" t="n">
        <f aca="false">IF(AK30=1,IF(AL30&gt;1,(P30-AM30)^2*AL30/(AL30-1),0),0)</f>
        <v>0.152389859781388</v>
      </c>
      <c r="AO30" s="6" t="n">
        <f aca="false">IF(ISNUMBER(R30),1,0)</f>
        <v>1</v>
      </c>
      <c r="AP30" s="6" t="n">
        <f aca="false">COUNTIFS(Runs!$B$2:$B$61,B30,Runs!$E$2:$E$61,E30,Runs!$N$2:$N$61,N30,Runs!$AO$2:$AO$61,1)</f>
        <v>2</v>
      </c>
      <c r="AQ30" s="6" t="n">
        <f aca="false">IF(AO30=1,AVERAGEIFS(Runs!$R$2:$R$61,Runs!$B$2:$B$61,B30,Runs!$E$2:$E$61,E30,Runs!$N$2:$N$61,N30,Runs!$AO$2:$AO$61,1),"")</f>
        <v>90.745</v>
      </c>
      <c r="AR30" s="6" t="n">
        <f aca="false">IF(AO30=1,IF(AP30&gt;1,(R30-AQ30)^2*AP30/(AP30-1),0),0)</f>
        <v>61.7160500000002</v>
      </c>
      <c r="AS30" s="6" t="n">
        <f aca="false">IF(ISNUMBER(J30),1,0)</f>
        <v>1</v>
      </c>
      <c r="AT30" s="6" t="n">
        <f aca="false">COUNTIFS(Runs!$B$2:$B$61,B30,Runs!$E$2:$E$61,E30,Runs!$N$2:$N$61,N30,Runs!$AS$2:$AS$61,1)</f>
        <v>2</v>
      </c>
      <c r="AU30" s="6" t="n">
        <f aca="false">IF(AS30=1,AVERAGEIFS(Runs!$J$2:$J$61,Runs!$B$2:$B$61,B30,Runs!$E$2:$E$61,E30,Runs!$N$2:$N$61,N30,Runs!$AS$2:$AS$61,1),"")</f>
        <v>0.969697</v>
      </c>
      <c r="AV30" s="6" t="n">
        <f aca="false">IF(AS30=1,IF(AT30&gt;1,(J30-AU30)^2*AT30/(AT30-1),0),0)</f>
        <v>0.00183654361800001</v>
      </c>
      <c r="AW30" s="6" t="n">
        <f aca="false">IF(ISNUMBER(Q30),1,0)</f>
        <v>1</v>
      </c>
      <c r="AX30" s="6" t="n">
        <f aca="false">COUNTIFS(Runs!$B$2:$B$61,B30,Runs!$E$2:$E$61,E30,Runs!$N$2:$N$61,N30,Runs!$AW$2:$AW$61,1)</f>
        <v>2</v>
      </c>
      <c r="AY30" s="6" t="n">
        <f aca="false">IF(AW30=1,AVERAGEIFS(Runs!$Q$2:$Q$61,Runs!$B$2:$B$61,B30,Runs!$E$2:$E$61,E30,Runs!$N$2:$N$61,N30,Runs!$AW$2:$AW$61,1),"")</f>
        <v>4.94679436017844</v>
      </c>
      <c r="AZ30" s="6" t="n">
        <f aca="false">IF(AW30=1,IF(AX30&gt;1,(Q30-AY30)^2*AX30/(AX30-1),0),0)</f>
        <v>0.0362397067877549</v>
      </c>
    </row>
    <row r="31" customFormat="false" ht="15" hidden="false" customHeight="false" outlineLevel="0" collapsed="false">
      <c r="A31" s="9" t="s">
        <v>147</v>
      </c>
      <c r="B31" s="9" t="s">
        <v>104</v>
      </c>
      <c r="C31" s="9" t="s">
        <v>135</v>
      </c>
      <c r="D31" s="9" t="s">
        <v>118</v>
      </c>
      <c r="E31" s="9" t="s">
        <v>115</v>
      </c>
      <c r="F31" s="9" t="n">
        <v>2</v>
      </c>
      <c r="G31" s="9" t="s">
        <v>108</v>
      </c>
      <c r="H31" s="9" t="n">
        <v>19</v>
      </c>
      <c r="I31" s="9" t="n">
        <v>0</v>
      </c>
      <c r="J31" s="9" t="n">
        <v>1</v>
      </c>
      <c r="K31" s="9" t="n">
        <v>123</v>
      </c>
      <c r="L31" s="9" t="n">
        <v>0</v>
      </c>
      <c r="M31" s="9" t="n">
        <v>1</v>
      </c>
      <c r="N31" s="6" t="str">
        <f aca="false">C31&amp;"|"&amp;D31</f>
        <v>message-board|interactive</v>
      </c>
      <c r="O31" s="6" t="n">
        <f aca="false">IF(G31="finished",0,1)</f>
        <v>0</v>
      </c>
      <c r="P31" s="6" t="n">
        <f aca="false">IF(O31=0,LN(H31),"")</f>
        <v>2.94443897916644</v>
      </c>
      <c r="Q31" s="6" t="n">
        <f aca="false">IF(ISNUMBER(K31),IF(K31&gt;0,LN(K31),""),"")</f>
        <v>4.81218435537242</v>
      </c>
      <c r="R31" s="6" t="n">
        <f aca="false">IF(M31=1,INDEX(Quality!$AF:$AF,MATCH(A31,Quality!$A:$A,0)),"")</f>
        <v>96.3</v>
      </c>
      <c r="S31" s="6" t="n">
        <f aca="false">IF(R31="","",IF(T31=1,0,R31))</f>
        <v>96.3</v>
      </c>
      <c r="T31" s="6" t="n">
        <f aca="false">IF(M31=1,INDEX(Quality!$AG:$AG,MATCH(A31,Quality!$A:$A,0)),0)</f>
        <v>0</v>
      </c>
      <c r="U31" s="6" t="n">
        <f aca="false">IF(M31=1,INDEX(Quality!$AS:$AS,MATCH(A31,Quality!$A:$A,0)),"")</f>
        <v>0.5</v>
      </c>
      <c r="V31" s="9" t="n">
        <v>0</v>
      </c>
      <c r="W31" s="9" t="n">
        <v>2.94444</v>
      </c>
      <c r="X31" s="9" t="n">
        <v>4.81218</v>
      </c>
      <c r="Y31" s="9" t="n">
        <v>96.3</v>
      </c>
      <c r="Z31" s="9" t="n">
        <v>0</v>
      </c>
      <c r="AA31" s="9" t="n">
        <v>0.5</v>
      </c>
      <c r="AB31" s="9" t="s">
        <v>108</v>
      </c>
      <c r="AC31" s="9" t="n">
        <v>19</v>
      </c>
      <c r="AD31" s="9" t="n">
        <v>1</v>
      </c>
      <c r="AE31" s="9" t="n">
        <v>123</v>
      </c>
      <c r="AF31" s="9" t="n">
        <v>0</v>
      </c>
      <c r="AG31" s="9" t="n">
        <v>0</v>
      </c>
      <c r="AH31" s="6" t="str">
        <f aca="false">IF(AND(G31=AB31,IF(AND(ISNUMBER(H31),ISNUMBER(AC31)),ABS(N(H31)-N(AC31))&lt;=Settings!$B$9*MAX(1,ABS(N(AC31))),AND(H31="",AC31="")),IF(AND(ISNUMBER(J31),ISNUMBER(AD31)),ABS(N(J31)-N(AD31))&lt;=Settings!$B$9*MAX(1,ABS(N(AD31))),AND(J31="",AD31="")),IF(AND(ISNUMBER(K31),ISNUMBER(AE31)),ABS(N(K31)-N(AE31))&lt;=Settings!$B$9*MAX(1,ABS(N(AE31))),AND(K31="",AE31="")),L31=AF31,I31=AG31),"ok","CHECK")</f>
        <v>ok</v>
      </c>
      <c r="AI31" s="6" t="str">
        <f aca="false">IF(AND(IF(AND(ISNUMBER(O31),ISNUMBER(V31)),ABS(N(O31)-N(V31))&lt;=Settings!$B$9*MAX(1,ABS(N(V31))),AND(O31="",V31="")),IF(AND(ISNUMBER(P31),ISNUMBER(W31)),ABS(N(P31)-N(W31))&lt;=Settings!$B$9*MAX(1,ABS(N(W31))),AND(P31="",W31="")),IF(AND(ISNUMBER(Q31),ISNUMBER(X31)),ABS(N(Q31)-N(X31))&lt;=Settings!$B$9*MAX(1,ABS(N(X31))),AND(Q31="",X31="")),IF(AND(ISNUMBER(R31),ISNUMBER(Y31)),ABS(N(R31)-N(Y31))&lt;=Settings!$B$9*MAX(1,ABS(N(Y31))),AND(R31="",Y31="")),T31=Z31,IF(AND(ISNUMBER(U31),ISNUMBER(AA31)),ABS(N(U31)-N(AA31))&lt;=Settings!$B$9*MAX(1,ABS(N(AA31))),AND(U31="",AA31=""))),"ok","CHECK")</f>
        <v>ok</v>
      </c>
      <c r="AJ31" s="2"/>
      <c r="AK31" s="6" t="n">
        <f aca="false">IF(ISNUMBER(P31),1,0)</f>
        <v>1</v>
      </c>
      <c r="AL31" s="6" t="n">
        <f aca="false">COUNTIFS(Runs!$B$2:$B$61,B31,Runs!$E$2:$E$61,E31,Runs!$N$2:$N$61,N31,Runs!$AK$2:$AK$61,1)</f>
        <v>2</v>
      </c>
      <c r="AM31" s="6" t="n">
        <f aca="false">IF(AK31=1,AVERAGEIFS(Runs!$P$2:$P$61,Runs!$B$2:$B$61,B31,Runs!$E$2:$E$61,E31,Runs!$N$2:$N$61,N31,Runs!$AK$2:$AK$61,1),"")</f>
        <v>3.22047327031646</v>
      </c>
      <c r="AN31" s="6" t="n">
        <f aca="false">IF(AK31=1,IF(AL31&gt;1,(P31-AM31)^2*AL31/(AL31-1),0),0)</f>
        <v>0.152389859781388</v>
      </c>
      <c r="AO31" s="6" t="n">
        <f aca="false">IF(ISNUMBER(R31),1,0)</f>
        <v>1</v>
      </c>
      <c r="AP31" s="6" t="n">
        <f aca="false">COUNTIFS(Runs!$B$2:$B$61,B31,Runs!$E$2:$E$61,E31,Runs!$N$2:$N$61,N31,Runs!$AO$2:$AO$61,1)</f>
        <v>2</v>
      </c>
      <c r="AQ31" s="6" t="n">
        <f aca="false">IF(AO31=1,AVERAGEIFS(Runs!$R$2:$R$61,Runs!$B$2:$B$61,B31,Runs!$E$2:$E$61,E31,Runs!$N$2:$N$61,N31,Runs!$AO$2:$AO$61,1),"")</f>
        <v>90.745</v>
      </c>
      <c r="AR31" s="6" t="n">
        <f aca="false">IF(AO31=1,IF(AP31&gt;1,(R31-AQ31)^2*AP31/(AP31-1),0),0)</f>
        <v>61.7160499999998</v>
      </c>
      <c r="AS31" s="6" t="n">
        <f aca="false">IF(ISNUMBER(J31),1,0)</f>
        <v>1</v>
      </c>
      <c r="AT31" s="6" t="n">
        <f aca="false">COUNTIFS(Runs!$B$2:$B$61,B31,Runs!$E$2:$E$61,E31,Runs!$N$2:$N$61,N31,Runs!$AS$2:$AS$61,1)</f>
        <v>2</v>
      </c>
      <c r="AU31" s="6" t="n">
        <f aca="false">IF(AS31=1,AVERAGEIFS(Runs!$J$2:$J$61,Runs!$B$2:$B$61,B31,Runs!$E$2:$E$61,E31,Runs!$N$2:$N$61,N31,Runs!$AS$2:$AS$61,1),"")</f>
        <v>0.969697</v>
      </c>
      <c r="AV31" s="6" t="n">
        <f aca="false">IF(AS31=1,IF(AT31&gt;1,(J31-AU31)^2*AT31/(AT31-1),0),0)</f>
        <v>0.001836543618</v>
      </c>
      <c r="AW31" s="6" t="n">
        <f aca="false">IF(ISNUMBER(Q31),1,0)</f>
        <v>1</v>
      </c>
      <c r="AX31" s="6" t="n">
        <f aca="false">COUNTIFS(Runs!$B$2:$B$61,B31,Runs!$E$2:$E$61,E31,Runs!$N$2:$N$61,N31,Runs!$AW$2:$AW$61,1)</f>
        <v>2</v>
      </c>
      <c r="AY31" s="6" t="n">
        <f aca="false">IF(AW31=1,AVERAGEIFS(Runs!$Q$2:$Q$61,Runs!$B$2:$B$61,B31,Runs!$E$2:$E$61,E31,Runs!$N$2:$N$61,N31,Runs!$AW$2:$AW$61,1),"")</f>
        <v>4.94679436017844</v>
      </c>
      <c r="AZ31" s="6" t="n">
        <f aca="false">IF(AW31=1,IF(AX31&gt;1,(Q31-AY31)^2*AX31/(AX31-1),0),0)</f>
        <v>0.0362397067877553</v>
      </c>
    </row>
    <row r="32" customFormat="false" ht="15" hidden="false" customHeight="false" outlineLevel="0" collapsed="false">
      <c r="A32" s="9" t="s">
        <v>148</v>
      </c>
      <c r="B32" s="9" t="s">
        <v>104</v>
      </c>
      <c r="C32" s="9" t="s">
        <v>135</v>
      </c>
      <c r="D32" s="9" t="s">
        <v>126</v>
      </c>
      <c r="E32" s="9" t="s">
        <v>107</v>
      </c>
      <c r="F32" s="9" t="n">
        <v>1</v>
      </c>
      <c r="G32" s="9" t="s">
        <v>149</v>
      </c>
      <c r="H32" s="9" t="n">
        <v>115</v>
      </c>
      <c r="I32" s="9" t="n">
        <v>0</v>
      </c>
      <c r="J32" s="9" t="n">
        <v>0</v>
      </c>
      <c r="K32" s="9"/>
      <c r="L32" s="9" t="n">
        <v>0</v>
      </c>
      <c r="M32" s="9" t="n">
        <v>1</v>
      </c>
      <c r="N32" s="6" t="str">
        <f aca="false">C32&amp;"|"&amp;D32</f>
        <v>message-board|no_verification</v>
      </c>
      <c r="O32" s="6" t="n">
        <f aca="false">IF(G32="finished",0,1)</f>
        <v>1</v>
      </c>
      <c r="P32" s="6" t="str">
        <f aca="false">IF(O32=0,LN(H32),"")</f>
        <v/>
      </c>
      <c r="Q32" s="6" t="str">
        <f aca="false">IF(ISNUMBER(K32),IF(K32&gt;0,LN(K32),""),"")</f>
        <v/>
      </c>
      <c r="R32" s="6" t="n">
        <f aca="false">IF(M32=1,INDEX(Quality!$AF:$AF,MATCH(A32,Quality!$A:$A,0)),"")</f>
        <v>92.59</v>
      </c>
      <c r="S32" s="6" t="n">
        <f aca="false">IF(R32="","",IF(T32=1,0,R32))</f>
        <v>92.59</v>
      </c>
      <c r="T32" s="6" t="n">
        <f aca="false">IF(M32=1,INDEX(Quality!$AG:$AG,MATCH(A32,Quality!$A:$A,0)),0)</f>
        <v>0</v>
      </c>
      <c r="U32" s="6" t="n">
        <f aca="false">IF(M32=1,INDEX(Quality!$AS:$AS,MATCH(A32,Quality!$A:$A,0)),"")</f>
        <v>0.5</v>
      </c>
      <c r="V32" s="9" t="n">
        <v>1</v>
      </c>
      <c r="W32" s="9"/>
      <c r="X32" s="9"/>
      <c r="Y32" s="9" t="n">
        <v>92.59</v>
      </c>
      <c r="Z32" s="9" t="n">
        <v>0</v>
      </c>
      <c r="AA32" s="9" t="n">
        <v>0.5</v>
      </c>
      <c r="AB32" s="9" t="s">
        <v>149</v>
      </c>
      <c r="AC32" s="9" t="n">
        <v>115</v>
      </c>
      <c r="AD32" s="9" t="n">
        <v>0</v>
      </c>
      <c r="AE32" s="9"/>
      <c r="AF32" s="9" t="n">
        <v>0</v>
      </c>
      <c r="AG32" s="9" t="n">
        <v>0</v>
      </c>
      <c r="AH32" s="6" t="str">
        <f aca="false">IF(AND(G32=AB32,IF(AND(ISNUMBER(H32),ISNUMBER(AC32)),ABS(N(H32)-N(AC32))&lt;=Settings!$B$9*MAX(1,ABS(N(AC32))),AND(H32="",AC32="")),IF(AND(ISNUMBER(J32),ISNUMBER(AD32)),ABS(N(J32)-N(AD32))&lt;=Settings!$B$9*MAX(1,ABS(N(AD32))),AND(J32="",AD32="")),IF(AND(ISNUMBER(K32),ISNUMBER(AE32)),ABS(N(K32)-N(AE32))&lt;=Settings!$B$9*MAX(1,ABS(N(AE32))),AND(K32="",AE32="")),L32=AF32,I32=AG32),"ok","CHECK")</f>
        <v>ok</v>
      </c>
      <c r="AI32" s="6" t="str">
        <f aca="false">IF(AND(IF(AND(ISNUMBER(O32),ISNUMBER(V32)),ABS(N(O32)-N(V32))&lt;=Settings!$B$9*MAX(1,ABS(N(V32))),AND(O32="",V32="")),IF(AND(ISNUMBER(P32),ISNUMBER(W32)),ABS(N(P32)-N(W32))&lt;=Settings!$B$9*MAX(1,ABS(N(W32))),AND(P32="",W32="")),IF(AND(ISNUMBER(Q32),ISNUMBER(X32)),ABS(N(Q32)-N(X32))&lt;=Settings!$B$9*MAX(1,ABS(N(X32))),AND(Q32="",X32="")),IF(AND(ISNUMBER(R32),ISNUMBER(Y32)),ABS(N(R32)-N(Y32))&lt;=Settings!$B$9*MAX(1,ABS(N(Y32))),AND(R32="",Y32="")),T32=Z32,IF(AND(ISNUMBER(U32),ISNUMBER(AA32)),ABS(N(U32)-N(AA32))&lt;=Settings!$B$9*MAX(1,ABS(N(AA32))),AND(U32="",AA32=""))),"ok","CHECK")</f>
        <v>ok</v>
      </c>
      <c r="AJ32" s="2"/>
      <c r="AK32" s="6" t="n">
        <f aca="false">IF(ISNUMBER(P32),1,0)</f>
        <v>0</v>
      </c>
      <c r="AL32" s="6" t="n">
        <f aca="false">COUNTIFS(Runs!$B$2:$B$61,B32,Runs!$E$2:$E$61,E32,Runs!$N$2:$N$61,N32,Runs!$AK$2:$AK$61,1)</f>
        <v>1</v>
      </c>
      <c r="AM32" s="6" t="str">
        <f aca="false">IF(AK32=1,AVERAGEIFS(Runs!$P$2:$P$61,Runs!$B$2:$B$61,B32,Runs!$E$2:$E$61,E32,Runs!$N$2:$N$61,N32,Runs!$AK$2:$AK$61,1),"")</f>
        <v/>
      </c>
      <c r="AN32" s="6" t="n">
        <f aca="false">IF(AK32=1,IF(AL32&gt;1,(P32-AM32)^2*AL32/(AL32-1),0),0)</f>
        <v>0</v>
      </c>
      <c r="AO32" s="6" t="n">
        <f aca="false">IF(ISNUMBER(R32),1,0)</f>
        <v>1</v>
      </c>
      <c r="AP32" s="6" t="n">
        <f aca="false">COUNTIFS(Runs!$B$2:$B$61,B32,Runs!$E$2:$E$61,E32,Runs!$N$2:$N$61,N32,Runs!$AO$2:$AO$61,1)</f>
        <v>2</v>
      </c>
      <c r="AQ32" s="6" t="n">
        <f aca="false">IF(AO32=1,AVERAGEIFS(Runs!$R$2:$R$61,Runs!$B$2:$B$61,B32,Runs!$E$2:$E$61,E32,Runs!$N$2:$N$61,N32,Runs!$AO$2:$AO$61,1),"")</f>
        <v>94.445</v>
      </c>
      <c r="AR32" s="6" t="n">
        <f aca="false">IF(AO32=1,IF(AP32&gt;1,(R32-AQ32)^2*AP32/(AP32-1),0),0)</f>
        <v>6.88204999999992</v>
      </c>
      <c r="AS32" s="6" t="n">
        <f aca="false">IF(ISNUMBER(J32),1,0)</f>
        <v>1</v>
      </c>
      <c r="AT32" s="6" t="n">
        <f aca="false">COUNTIFS(Runs!$B$2:$B$61,B32,Runs!$E$2:$E$61,E32,Runs!$N$2:$N$61,N32,Runs!$AS$2:$AS$61,1)</f>
        <v>2</v>
      </c>
      <c r="AU32" s="6" t="n">
        <f aca="false">IF(AS32=1,AVERAGEIFS(Runs!$J$2:$J$61,Runs!$B$2:$B$61,B32,Runs!$E$2:$E$61,E32,Runs!$N$2:$N$61,N32,Runs!$AS$2:$AS$61,1),"")</f>
        <v>0</v>
      </c>
      <c r="AV32" s="6" t="n">
        <f aca="false">IF(AS32=1,IF(AT32&gt;1,(J32-AU32)^2*AT32/(AT32-1),0),0)</f>
        <v>0</v>
      </c>
      <c r="AW32" s="6" t="n">
        <f aca="false">IF(ISNUMBER(Q32),1,0)</f>
        <v>0</v>
      </c>
      <c r="AX32" s="6" t="n">
        <f aca="false">COUNTIFS(Runs!$B$2:$B$61,B32,Runs!$E$2:$E$61,E32,Runs!$N$2:$N$61,N32,Runs!$AW$2:$AW$61,1)</f>
        <v>0</v>
      </c>
      <c r="AY32" s="6" t="str">
        <f aca="false">IF(AW32=1,AVERAGEIFS(Runs!$Q$2:$Q$61,Runs!$B$2:$B$61,B32,Runs!$E$2:$E$61,E32,Runs!$N$2:$N$61,N32,Runs!$AW$2:$AW$61,1),"")</f>
        <v/>
      </c>
      <c r="AZ32" s="6" t="n">
        <f aca="false">IF(AW32=1,IF(AX32&gt;1,(Q32-AY32)^2*AX32/(AX32-1),0),0)</f>
        <v>0</v>
      </c>
    </row>
    <row r="33" customFormat="false" ht="15" hidden="false" customHeight="false" outlineLevel="0" collapsed="false">
      <c r="A33" s="9" t="s">
        <v>150</v>
      </c>
      <c r="B33" s="9" t="s">
        <v>104</v>
      </c>
      <c r="C33" s="9" t="s">
        <v>135</v>
      </c>
      <c r="D33" s="9" t="s">
        <v>126</v>
      </c>
      <c r="E33" s="9" t="s">
        <v>107</v>
      </c>
      <c r="F33" s="9" t="n">
        <v>2</v>
      </c>
      <c r="G33" s="9" t="s">
        <v>108</v>
      </c>
      <c r="H33" s="9" t="n">
        <v>87</v>
      </c>
      <c r="I33" s="9" t="n">
        <v>0</v>
      </c>
      <c r="J33" s="9" t="n">
        <v>0</v>
      </c>
      <c r="K33" s="9"/>
      <c r="L33" s="9" t="n">
        <v>0</v>
      </c>
      <c r="M33" s="9" t="n">
        <v>1</v>
      </c>
      <c r="N33" s="6" t="str">
        <f aca="false">C33&amp;"|"&amp;D33</f>
        <v>message-board|no_verification</v>
      </c>
      <c r="O33" s="6" t="n">
        <f aca="false">IF(G33="finished",0,1)</f>
        <v>0</v>
      </c>
      <c r="P33" s="6" t="n">
        <f aca="false">IF(O33=0,LN(H33),"")</f>
        <v>4.46590811865458</v>
      </c>
      <c r="Q33" s="6" t="str">
        <f aca="false">IF(ISNUMBER(K33),IF(K33&gt;0,LN(K33),""),"")</f>
        <v/>
      </c>
      <c r="R33" s="6" t="n">
        <f aca="false">IF(M33=1,INDEX(Quality!$AF:$AF,MATCH(A33,Quality!$A:$A,0)),"")</f>
        <v>96.3</v>
      </c>
      <c r="S33" s="6" t="n">
        <f aca="false">IF(R33="","",IF(T33=1,0,R33))</f>
        <v>96.3</v>
      </c>
      <c r="T33" s="6" t="n">
        <f aca="false">IF(M33=1,INDEX(Quality!$AG:$AG,MATCH(A33,Quality!$A:$A,0)),0)</f>
        <v>0</v>
      </c>
      <c r="U33" s="6" t="n">
        <f aca="false">IF(M33=1,INDEX(Quality!$AS:$AS,MATCH(A33,Quality!$A:$A,0)),"")</f>
        <v>0.75</v>
      </c>
      <c r="V33" s="9" t="n">
        <v>0</v>
      </c>
      <c r="W33" s="9" t="n">
        <v>4.46591</v>
      </c>
      <c r="X33" s="9"/>
      <c r="Y33" s="9" t="n">
        <v>96.3</v>
      </c>
      <c r="Z33" s="9" t="n">
        <v>0</v>
      </c>
      <c r="AA33" s="9" t="n">
        <v>0.75</v>
      </c>
      <c r="AB33" s="9" t="s">
        <v>108</v>
      </c>
      <c r="AC33" s="9" t="n">
        <v>87</v>
      </c>
      <c r="AD33" s="9" t="n">
        <v>0</v>
      </c>
      <c r="AE33" s="9"/>
      <c r="AF33" s="9" t="n">
        <v>0</v>
      </c>
      <c r="AG33" s="9" t="n">
        <v>0</v>
      </c>
      <c r="AH33" s="6" t="str">
        <f aca="false">IF(AND(G33=AB33,IF(AND(ISNUMBER(H33),ISNUMBER(AC33)),ABS(N(H33)-N(AC33))&lt;=Settings!$B$9*MAX(1,ABS(N(AC33))),AND(H33="",AC33="")),IF(AND(ISNUMBER(J33),ISNUMBER(AD33)),ABS(N(J33)-N(AD33))&lt;=Settings!$B$9*MAX(1,ABS(N(AD33))),AND(J33="",AD33="")),IF(AND(ISNUMBER(K33),ISNUMBER(AE33)),ABS(N(K33)-N(AE33))&lt;=Settings!$B$9*MAX(1,ABS(N(AE33))),AND(K33="",AE33="")),L33=AF33,I33=AG33),"ok","CHECK")</f>
        <v>ok</v>
      </c>
      <c r="AI33" s="6" t="str">
        <f aca="false">IF(AND(IF(AND(ISNUMBER(O33),ISNUMBER(V33)),ABS(N(O33)-N(V33))&lt;=Settings!$B$9*MAX(1,ABS(N(V33))),AND(O33="",V33="")),IF(AND(ISNUMBER(P33),ISNUMBER(W33)),ABS(N(P33)-N(W33))&lt;=Settings!$B$9*MAX(1,ABS(N(W33))),AND(P33="",W33="")),IF(AND(ISNUMBER(Q33),ISNUMBER(X33)),ABS(N(Q33)-N(X33))&lt;=Settings!$B$9*MAX(1,ABS(N(X33))),AND(Q33="",X33="")),IF(AND(ISNUMBER(R33),ISNUMBER(Y33)),ABS(N(R33)-N(Y33))&lt;=Settings!$B$9*MAX(1,ABS(N(Y33))),AND(R33="",Y33="")),T33=Z33,IF(AND(ISNUMBER(U33),ISNUMBER(AA33)),ABS(N(U33)-N(AA33))&lt;=Settings!$B$9*MAX(1,ABS(N(AA33))),AND(U33="",AA33=""))),"ok","CHECK")</f>
        <v>ok</v>
      </c>
      <c r="AJ33" s="2"/>
      <c r="AK33" s="6" t="n">
        <f aca="false">IF(ISNUMBER(P33),1,0)</f>
        <v>1</v>
      </c>
      <c r="AL33" s="6" t="n">
        <f aca="false">COUNTIFS(Runs!$B$2:$B$61,B33,Runs!$E$2:$E$61,E33,Runs!$N$2:$N$61,N33,Runs!$AK$2:$AK$61,1)</f>
        <v>1</v>
      </c>
      <c r="AM33" s="6" t="n">
        <f aca="false">IF(AK33=1,AVERAGEIFS(Runs!$P$2:$P$61,Runs!$B$2:$B$61,B33,Runs!$E$2:$E$61,E33,Runs!$N$2:$N$61,N33,Runs!$AK$2:$AK$61,1),"")</f>
        <v>4.46590811865458</v>
      </c>
      <c r="AN33" s="6" t="n">
        <f aca="false">IF(AK33=1,IF(AL33&gt;1,(P33-AM33)^2*AL33/(AL33-1),0),0)</f>
        <v>0</v>
      </c>
      <c r="AO33" s="6" t="n">
        <f aca="false">IF(ISNUMBER(R33),1,0)</f>
        <v>1</v>
      </c>
      <c r="AP33" s="6" t="n">
        <f aca="false">COUNTIFS(Runs!$B$2:$B$61,B33,Runs!$E$2:$E$61,E33,Runs!$N$2:$N$61,N33,Runs!$AO$2:$AO$61,1)</f>
        <v>2</v>
      </c>
      <c r="AQ33" s="6" t="n">
        <f aca="false">IF(AO33=1,AVERAGEIFS(Runs!$R$2:$R$61,Runs!$B$2:$B$61,B33,Runs!$E$2:$E$61,E33,Runs!$N$2:$N$61,N33,Runs!$AO$2:$AO$61,1),"")</f>
        <v>94.445</v>
      </c>
      <c r="AR33" s="6" t="n">
        <f aca="false">IF(AO33=1,IF(AP33&gt;1,(R33-AQ33)^2*AP33/(AP33-1),0),0)</f>
        <v>6.88205000000003</v>
      </c>
      <c r="AS33" s="6" t="n">
        <f aca="false">IF(ISNUMBER(J33),1,0)</f>
        <v>1</v>
      </c>
      <c r="AT33" s="6" t="n">
        <f aca="false">COUNTIFS(Runs!$B$2:$B$61,B33,Runs!$E$2:$E$61,E33,Runs!$N$2:$N$61,N33,Runs!$AS$2:$AS$61,1)</f>
        <v>2</v>
      </c>
      <c r="AU33" s="6" t="n">
        <f aca="false">IF(AS33=1,AVERAGEIFS(Runs!$J$2:$J$61,Runs!$B$2:$B$61,B33,Runs!$E$2:$E$61,E33,Runs!$N$2:$N$61,N33,Runs!$AS$2:$AS$61,1),"")</f>
        <v>0</v>
      </c>
      <c r="AV33" s="6" t="n">
        <f aca="false">IF(AS33=1,IF(AT33&gt;1,(J33-AU33)^2*AT33/(AT33-1),0),0)</f>
        <v>0</v>
      </c>
      <c r="AW33" s="6" t="n">
        <f aca="false">IF(ISNUMBER(Q33),1,0)</f>
        <v>0</v>
      </c>
      <c r="AX33" s="6" t="n">
        <f aca="false">COUNTIFS(Runs!$B$2:$B$61,B33,Runs!$E$2:$E$61,E33,Runs!$N$2:$N$61,N33,Runs!$AW$2:$AW$61,1)</f>
        <v>0</v>
      </c>
      <c r="AY33" s="6" t="str">
        <f aca="false">IF(AW33=1,AVERAGEIFS(Runs!$Q$2:$Q$61,Runs!$B$2:$B$61,B33,Runs!$E$2:$E$61,E33,Runs!$N$2:$N$61,N33,Runs!$AW$2:$AW$61,1),"")</f>
        <v/>
      </c>
      <c r="AZ33" s="6" t="n">
        <f aca="false">IF(AW33=1,IF(AX33&gt;1,(Q33-AY33)^2*AX33/(AX33-1),0),0)</f>
        <v>0</v>
      </c>
    </row>
    <row r="34" customFormat="false" ht="15" hidden="false" customHeight="false" outlineLevel="0" collapsed="false">
      <c r="A34" s="9" t="s">
        <v>151</v>
      </c>
      <c r="B34" s="9" t="s">
        <v>104</v>
      </c>
      <c r="C34" s="9" t="s">
        <v>135</v>
      </c>
      <c r="D34" s="9" t="s">
        <v>126</v>
      </c>
      <c r="E34" s="9" t="s">
        <v>111</v>
      </c>
      <c r="F34" s="9" t="n">
        <v>1</v>
      </c>
      <c r="G34" s="9" t="s">
        <v>108</v>
      </c>
      <c r="H34" s="9" t="n">
        <v>208</v>
      </c>
      <c r="I34" s="9" t="n">
        <v>0</v>
      </c>
      <c r="J34" s="9" t="n">
        <v>0.774038</v>
      </c>
      <c r="K34" s="9" t="n">
        <v>394</v>
      </c>
      <c r="L34" s="9" t="n">
        <v>0</v>
      </c>
      <c r="M34" s="9" t="n">
        <v>1</v>
      </c>
      <c r="N34" s="6" t="str">
        <f aca="false">C34&amp;"|"&amp;D34</f>
        <v>message-board|no_verification</v>
      </c>
      <c r="O34" s="6" t="n">
        <f aca="false">IF(G34="finished",0,1)</f>
        <v>0</v>
      </c>
      <c r="P34" s="6" t="n">
        <f aca="false">IF(O34=0,LN(H34),"")</f>
        <v>5.33753807970132</v>
      </c>
      <c r="Q34" s="6" t="n">
        <f aca="false">IF(ISNUMBER(K34),IF(K34&gt;0,LN(K34),""),"")</f>
        <v>5.97635090929793</v>
      </c>
      <c r="R34" s="6" t="n">
        <f aca="false">IF(M34=1,INDEX(Quality!$AF:$AF,MATCH(A34,Quality!$A:$A,0)),"")</f>
        <v>0</v>
      </c>
      <c r="S34" s="6" t="n">
        <f aca="false">IF(R34="","",IF(T34=1,0,R34))</f>
        <v>0</v>
      </c>
      <c r="T34" s="6" t="n">
        <f aca="false">IF(M34=1,INDEX(Quality!$AG:$AG,MATCH(A34,Quality!$A:$A,0)),0)</f>
        <v>0</v>
      </c>
      <c r="U34" s="6" t="n">
        <f aca="false">IF(M34=1,INDEX(Quality!$AS:$AS,MATCH(A34,Quality!$A:$A,0)),"")</f>
        <v>0.75</v>
      </c>
      <c r="V34" s="9" t="n">
        <v>0</v>
      </c>
      <c r="W34" s="9" t="n">
        <v>5.33754</v>
      </c>
      <c r="X34" s="9" t="n">
        <v>5.97635</v>
      </c>
      <c r="Y34" s="9" t="n">
        <v>0</v>
      </c>
      <c r="Z34" s="9" t="n">
        <v>0</v>
      </c>
      <c r="AA34" s="9" t="n">
        <v>0.75</v>
      </c>
      <c r="AB34" s="9" t="s">
        <v>108</v>
      </c>
      <c r="AC34" s="9" t="n">
        <v>208</v>
      </c>
      <c r="AD34" s="9" t="n">
        <v>0.774038461538462</v>
      </c>
      <c r="AE34" s="9" t="n">
        <v>394</v>
      </c>
      <c r="AF34" s="9" t="n">
        <v>0</v>
      </c>
      <c r="AG34" s="9" t="n">
        <v>0</v>
      </c>
      <c r="AH34" s="6" t="str">
        <f aca="false">IF(AND(G34=AB34,IF(AND(ISNUMBER(H34),ISNUMBER(AC34)),ABS(N(H34)-N(AC34))&lt;=Settings!$B$9*MAX(1,ABS(N(AC34))),AND(H34="",AC34="")),IF(AND(ISNUMBER(J34),ISNUMBER(AD34)),ABS(N(J34)-N(AD34))&lt;=Settings!$B$9*MAX(1,ABS(N(AD34))),AND(J34="",AD34="")),IF(AND(ISNUMBER(K34),ISNUMBER(AE34)),ABS(N(K34)-N(AE34))&lt;=Settings!$B$9*MAX(1,ABS(N(AE34))),AND(K34="",AE34="")),L34=AF34,I34=AG34),"ok","CHECK")</f>
        <v>ok</v>
      </c>
      <c r="AI34" s="6" t="str">
        <f aca="false">IF(AND(IF(AND(ISNUMBER(O34),ISNUMBER(V34)),ABS(N(O34)-N(V34))&lt;=Settings!$B$9*MAX(1,ABS(N(V34))),AND(O34="",V34="")),IF(AND(ISNUMBER(P34),ISNUMBER(W34)),ABS(N(P34)-N(W34))&lt;=Settings!$B$9*MAX(1,ABS(N(W34))),AND(P34="",W34="")),IF(AND(ISNUMBER(Q34),ISNUMBER(X34)),ABS(N(Q34)-N(X34))&lt;=Settings!$B$9*MAX(1,ABS(N(X34))),AND(Q34="",X34="")),IF(AND(ISNUMBER(R34),ISNUMBER(Y34)),ABS(N(R34)-N(Y34))&lt;=Settings!$B$9*MAX(1,ABS(N(Y34))),AND(R34="",Y34="")),T34=Z34,IF(AND(ISNUMBER(U34),ISNUMBER(AA34)),ABS(N(U34)-N(AA34))&lt;=Settings!$B$9*MAX(1,ABS(N(AA34))),AND(U34="",AA34=""))),"ok","CHECK")</f>
        <v>ok</v>
      </c>
      <c r="AJ34" s="2"/>
      <c r="AK34" s="6" t="n">
        <f aca="false">IF(ISNUMBER(P34),1,0)</f>
        <v>1</v>
      </c>
      <c r="AL34" s="6" t="n">
        <f aca="false">COUNTIFS(Runs!$B$2:$B$61,B34,Runs!$E$2:$E$61,E34,Runs!$N$2:$N$61,N34,Runs!$AK$2:$AK$61,1)</f>
        <v>2</v>
      </c>
      <c r="AM34" s="6" t="n">
        <f aca="false">IF(AK34=1,AVERAGEIFS(Runs!$P$2:$P$61,Runs!$B$2:$B$61,B34,Runs!$E$2:$E$61,E34,Runs!$N$2:$N$61,N34,Runs!$AK$2:$AK$61,1),"")</f>
        <v>4.62478054256473</v>
      </c>
      <c r="AN34" s="6" t="n">
        <f aca="false">IF(AK34=1,IF(AL34&gt;1,(P34-AM34)^2*AL34/(AL34-1),0),0)</f>
        <v>1.01604661349002</v>
      </c>
      <c r="AO34" s="6" t="n">
        <f aca="false">IF(ISNUMBER(R34),1,0)</f>
        <v>1</v>
      </c>
      <c r="AP34" s="6" t="n">
        <f aca="false">COUNTIFS(Runs!$B$2:$B$61,B34,Runs!$E$2:$E$61,E34,Runs!$N$2:$N$61,N34,Runs!$AO$2:$AO$61,1)</f>
        <v>2</v>
      </c>
      <c r="AQ34" s="6" t="n">
        <f aca="false">IF(AO34=1,AVERAGEIFS(Runs!$R$2:$R$61,Runs!$B$2:$B$61,B34,Runs!$E$2:$E$61,E34,Runs!$N$2:$N$61,N34,Runs!$AO$2:$AO$61,1),"")</f>
        <v>50</v>
      </c>
      <c r="AR34" s="6" t="n">
        <f aca="false">IF(AO34=1,IF(AP34&gt;1,(R34-AQ34)^2*AP34/(AP34-1),0),0)</f>
        <v>5000</v>
      </c>
      <c r="AS34" s="6" t="n">
        <f aca="false">IF(ISNUMBER(J34),1,0)</f>
        <v>1</v>
      </c>
      <c r="AT34" s="6" t="n">
        <f aca="false">COUNTIFS(Runs!$B$2:$B$61,B34,Runs!$E$2:$E$61,E34,Runs!$N$2:$N$61,N34,Runs!$AS$2:$AS$61,1)</f>
        <v>2</v>
      </c>
      <c r="AU34" s="6" t="n">
        <f aca="false">IF(AS34=1,AVERAGEIFS(Runs!$J$2:$J$61,Runs!$B$2:$B$61,B34,Runs!$E$2:$E$61,E34,Runs!$N$2:$N$61,N34,Runs!$AS$2:$AS$61,1),"")</f>
        <v>0.807019</v>
      </c>
      <c r="AV34" s="6" t="n">
        <f aca="false">IF(AS34=1,IF(AT34&gt;1,(J34-AU34)^2*AT34/(AT34-1),0),0)</f>
        <v>0.00217549272199999</v>
      </c>
      <c r="AW34" s="6" t="n">
        <f aca="false">IF(ISNUMBER(Q34),1,0)</f>
        <v>1</v>
      </c>
      <c r="AX34" s="6" t="n">
        <f aca="false">COUNTIFS(Runs!$B$2:$B$61,B34,Runs!$E$2:$E$61,E34,Runs!$N$2:$N$61,N34,Runs!$AW$2:$AW$61,1)</f>
        <v>2</v>
      </c>
      <c r="AY34" s="6" t="n">
        <f aca="false">IF(AW34=1,AVERAGEIFS(Runs!$Q$2:$Q$61,Runs!$B$2:$B$61,B34,Runs!$E$2:$E$61,E34,Runs!$N$2:$N$61,N34,Runs!$AW$2:$AW$61,1),"")</f>
        <v>5.96932203955282</v>
      </c>
      <c r="AZ34" s="6" t="n">
        <f aca="false">IF(AW34=1,IF(AX34&gt;1,(Q34-AY34)^2*AX34/(AX34-1),0),0)</f>
        <v>9.88100197876131E-005</v>
      </c>
    </row>
    <row r="35" customFormat="false" ht="15" hidden="false" customHeight="false" outlineLevel="0" collapsed="false">
      <c r="A35" s="9" t="s">
        <v>152</v>
      </c>
      <c r="B35" s="9" t="s">
        <v>104</v>
      </c>
      <c r="C35" s="9" t="s">
        <v>135</v>
      </c>
      <c r="D35" s="9" t="s">
        <v>126</v>
      </c>
      <c r="E35" s="9" t="s">
        <v>111</v>
      </c>
      <c r="F35" s="9" t="n">
        <v>2</v>
      </c>
      <c r="G35" s="9" t="s">
        <v>108</v>
      </c>
      <c r="H35" s="9" t="n">
        <v>50</v>
      </c>
      <c r="I35" s="9" t="n">
        <v>0</v>
      </c>
      <c r="J35" s="9" t="n">
        <v>0.84</v>
      </c>
      <c r="K35" s="9" t="n">
        <v>388.5</v>
      </c>
      <c r="L35" s="9" t="n">
        <v>1</v>
      </c>
      <c r="M35" s="9" t="n">
        <v>1</v>
      </c>
      <c r="N35" s="6" t="str">
        <f aca="false">C35&amp;"|"&amp;D35</f>
        <v>message-board|no_verification</v>
      </c>
      <c r="O35" s="6" t="n">
        <f aca="false">IF(G35="finished",0,1)</f>
        <v>0</v>
      </c>
      <c r="P35" s="6" t="n">
        <f aca="false">IF(O35=0,LN(H35),"")</f>
        <v>3.91202300542815</v>
      </c>
      <c r="Q35" s="6" t="n">
        <f aca="false">IF(ISNUMBER(K35),IF(K35&gt;0,LN(K35),""),"")</f>
        <v>5.9622931698077</v>
      </c>
      <c r="R35" s="6" t="n">
        <f aca="false">IF(M35=1,INDEX(Quality!$AF:$AF,MATCH(A35,Quality!$A:$A,0)),"")</f>
        <v>100</v>
      </c>
      <c r="S35" s="6" t="n">
        <f aca="false">IF(R35="","",IF(T35=1,0,R35))</f>
        <v>100</v>
      </c>
      <c r="T35" s="6" t="n">
        <f aca="false">IF(M35=1,INDEX(Quality!$AG:$AG,MATCH(A35,Quality!$A:$A,0)),0)</f>
        <v>0</v>
      </c>
      <c r="U35" s="6" t="n">
        <f aca="false">IF(M35=1,INDEX(Quality!$AS:$AS,MATCH(A35,Quality!$A:$A,0)),"")</f>
        <v>0.5</v>
      </c>
      <c r="V35" s="9" t="n">
        <v>0</v>
      </c>
      <c r="W35" s="9" t="n">
        <v>3.91202</v>
      </c>
      <c r="X35" s="9" t="n">
        <v>5.96229</v>
      </c>
      <c r="Y35" s="9" t="n">
        <v>100</v>
      </c>
      <c r="Z35" s="9" t="n">
        <v>0</v>
      </c>
      <c r="AA35" s="9" t="n">
        <v>0.5</v>
      </c>
      <c r="AB35" s="9" t="s">
        <v>108</v>
      </c>
      <c r="AC35" s="9" t="n">
        <v>50</v>
      </c>
      <c r="AD35" s="9" t="n">
        <v>0.84</v>
      </c>
      <c r="AE35" s="9" t="n">
        <v>388.5</v>
      </c>
      <c r="AF35" s="9" t="n">
        <v>1</v>
      </c>
      <c r="AG35" s="9" t="n">
        <v>0</v>
      </c>
      <c r="AH35" s="6" t="str">
        <f aca="false">IF(AND(G35=AB35,IF(AND(ISNUMBER(H35),ISNUMBER(AC35)),ABS(N(H35)-N(AC35))&lt;=Settings!$B$9*MAX(1,ABS(N(AC35))),AND(H35="",AC35="")),IF(AND(ISNUMBER(J35),ISNUMBER(AD35)),ABS(N(J35)-N(AD35))&lt;=Settings!$B$9*MAX(1,ABS(N(AD35))),AND(J35="",AD35="")),IF(AND(ISNUMBER(K35),ISNUMBER(AE35)),ABS(N(K35)-N(AE35))&lt;=Settings!$B$9*MAX(1,ABS(N(AE35))),AND(K35="",AE35="")),L35=AF35,I35=AG35),"ok","CHECK")</f>
        <v>ok</v>
      </c>
      <c r="AI35" s="6" t="str">
        <f aca="false">IF(AND(IF(AND(ISNUMBER(O35),ISNUMBER(V35)),ABS(N(O35)-N(V35))&lt;=Settings!$B$9*MAX(1,ABS(N(V35))),AND(O35="",V35="")),IF(AND(ISNUMBER(P35),ISNUMBER(W35)),ABS(N(P35)-N(W35))&lt;=Settings!$B$9*MAX(1,ABS(N(W35))),AND(P35="",W35="")),IF(AND(ISNUMBER(Q35),ISNUMBER(X35)),ABS(N(Q35)-N(X35))&lt;=Settings!$B$9*MAX(1,ABS(N(X35))),AND(Q35="",X35="")),IF(AND(ISNUMBER(R35),ISNUMBER(Y35)),ABS(N(R35)-N(Y35))&lt;=Settings!$B$9*MAX(1,ABS(N(Y35))),AND(R35="",Y35="")),T35=Z35,IF(AND(ISNUMBER(U35),ISNUMBER(AA35)),ABS(N(U35)-N(AA35))&lt;=Settings!$B$9*MAX(1,ABS(N(AA35))),AND(U35="",AA35=""))),"ok","CHECK")</f>
        <v>ok</v>
      </c>
      <c r="AJ35" s="2"/>
      <c r="AK35" s="6" t="n">
        <f aca="false">IF(ISNUMBER(P35),1,0)</f>
        <v>1</v>
      </c>
      <c r="AL35" s="6" t="n">
        <f aca="false">COUNTIFS(Runs!$B$2:$B$61,B35,Runs!$E$2:$E$61,E35,Runs!$N$2:$N$61,N35,Runs!$AK$2:$AK$61,1)</f>
        <v>2</v>
      </c>
      <c r="AM35" s="6" t="n">
        <f aca="false">IF(AK35=1,AVERAGEIFS(Runs!$P$2:$P$61,Runs!$B$2:$B$61,B35,Runs!$E$2:$E$61,E35,Runs!$N$2:$N$61,N35,Runs!$AK$2:$AK$61,1),"")</f>
        <v>4.62478054256473</v>
      </c>
      <c r="AN35" s="6" t="n">
        <f aca="false">IF(AK35=1,IF(AL35&gt;1,(P35-AM35)^2*AL35/(AL35-1),0),0)</f>
        <v>1.01604661349002</v>
      </c>
      <c r="AO35" s="6" t="n">
        <f aca="false">IF(ISNUMBER(R35),1,0)</f>
        <v>1</v>
      </c>
      <c r="AP35" s="6" t="n">
        <f aca="false">COUNTIFS(Runs!$B$2:$B$61,B35,Runs!$E$2:$E$61,E35,Runs!$N$2:$N$61,N35,Runs!$AO$2:$AO$61,1)</f>
        <v>2</v>
      </c>
      <c r="AQ35" s="6" t="n">
        <f aca="false">IF(AO35=1,AVERAGEIFS(Runs!$R$2:$R$61,Runs!$B$2:$B$61,B35,Runs!$E$2:$E$61,E35,Runs!$N$2:$N$61,N35,Runs!$AO$2:$AO$61,1),"")</f>
        <v>50</v>
      </c>
      <c r="AR35" s="6" t="n">
        <f aca="false">IF(AO35=1,IF(AP35&gt;1,(R35-AQ35)^2*AP35/(AP35-1),0),0)</f>
        <v>5000</v>
      </c>
      <c r="AS35" s="6" t="n">
        <f aca="false">IF(ISNUMBER(J35),1,0)</f>
        <v>1</v>
      </c>
      <c r="AT35" s="6" t="n">
        <f aca="false">COUNTIFS(Runs!$B$2:$B$61,B35,Runs!$E$2:$E$61,E35,Runs!$N$2:$N$61,N35,Runs!$AS$2:$AS$61,1)</f>
        <v>2</v>
      </c>
      <c r="AU35" s="6" t="n">
        <f aca="false">IF(AS35=1,AVERAGEIFS(Runs!$J$2:$J$61,Runs!$B$2:$B$61,B35,Runs!$E$2:$E$61,E35,Runs!$N$2:$N$61,N35,Runs!$AS$2:$AS$61,1),"")</f>
        <v>0.807019</v>
      </c>
      <c r="AV35" s="6" t="n">
        <f aca="false">IF(AS35=1,IF(AT35&gt;1,(J35-AU35)^2*AT35/(AT35-1),0),0)</f>
        <v>0.00217549272200001</v>
      </c>
      <c r="AW35" s="6" t="n">
        <f aca="false">IF(ISNUMBER(Q35),1,0)</f>
        <v>1</v>
      </c>
      <c r="AX35" s="6" t="n">
        <f aca="false">COUNTIFS(Runs!$B$2:$B$61,B35,Runs!$E$2:$E$61,E35,Runs!$N$2:$N$61,N35,Runs!$AW$2:$AW$61,1)</f>
        <v>2</v>
      </c>
      <c r="AY35" s="6" t="n">
        <f aca="false">IF(AW35=1,AVERAGEIFS(Runs!$Q$2:$Q$61,Runs!$B$2:$B$61,B35,Runs!$E$2:$E$61,E35,Runs!$N$2:$N$61,N35,Runs!$AW$2:$AW$61,1),"")</f>
        <v>5.96932203955282</v>
      </c>
      <c r="AZ35" s="6" t="n">
        <f aca="false">IF(AW35=1,IF(AX35&gt;1,(Q35-AY35)^2*AX35/(AX35-1),0),0)</f>
        <v>9.88100197876131E-005</v>
      </c>
    </row>
    <row r="36" customFormat="false" ht="15" hidden="false" customHeight="false" outlineLevel="0" collapsed="false">
      <c r="A36" s="9" t="s">
        <v>153</v>
      </c>
      <c r="B36" s="9" t="s">
        <v>104</v>
      </c>
      <c r="C36" s="9" t="s">
        <v>135</v>
      </c>
      <c r="D36" s="9" t="s">
        <v>126</v>
      </c>
      <c r="E36" s="9" t="s">
        <v>115</v>
      </c>
      <c r="F36" s="9" t="n">
        <v>1</v>
      </c>
      <c r="G36" s="9" t="s">
        <v>108</v>
      </c>
      <c r="H36" s="9" t="n">
        <v>37</v>
      </c>
      <c r="I36" s="9" t="n">
        <v>0</v>
      </c>
      <c r="J36" s="9" t="n">
        <v>1</v>
      </c>
      <c r="K36" s="9" t="n">
        <v>127</v>
      </c>
      <c r="L36" s="9" t="n">
        <v>0</v>
      </c>
      <c r="M36" s="9" t="n">
        <v>1</v>
      </c>
      <c r="N36" s="6" t="str">
        <f aca="false">C36&amp;"|"&amp;D36</f>
        <v>message-board|no_verification</v>
      </c>
      <c r="O36" s="6" t="n">
        <f aca="false">IF(G36="finished",0,1)</f>
        <v>0</v>
      </c>
      <c r="P36" s="6" t="n">
        <f aca="false">IF(O36=0,LN(H36),"")</f>
        <v>3.61091791264422</v>
      </c>
      <c r="Q36" s="6" t="n">
        <f aca="false">IF(ISNUMBER(K36),IF(K36&gt;0,LN(K36),""),"")</f>
        <v>4.84418708645859</v>
      </c>
      <c r="R36" s="6" t="n">
        <f aca="false">IF(M36=1,INDEX(Quality!$AF:$AF,MATCH(A36,Quality!$A:$A,0)),"")</f>
        <v>96.3</v>
      </c>
      <c r="S36" s="6" t="n">
        <f aca="false">IF(R36="","",IF(T36=1,0,R36))</f>
        <v>0</v>
      </c>
      <c r="T36" s="6" t="n">
        <f aca="false">IF(M36=1,INDEX(Quality!$AG:$AG,MATCH(A36,Quality!$A:$A,0)),0)</f>
        <v>1</v>
      </c>
      <c r="U36" s="6" t="n">
        <f aca="false">IF(M36=1,INDEX(Quality!$AS:$AS,MATCH(A36,Quality!$A:$A,0)),"")</f>
        <v>0.5</v>
      </c>
      <c r="V36" s="9" t="n">
        <v>0</v>
      </c>
      <c r="W36" s="9" t="n">
        <v>3.61092</v>
      </c>
      <c r="X36" s="9" t="n">
        <v>4.84419</v>
      </c>
      <c r="Y36" s="9" t="n">
        <v>96.3</v>
      </c>
      <c r="Z36" s="9" t="n">
        <v>1</v>
      </c>
      <c r="AA36" s="9" t="n">
        <v>0.5</v>
      </c>
      <c r="AB36" s="9" t="s">
        <v>108</v>
      </c>
      <c r="AC36" s="9" t="n">
        <v>37</v>
      </c>
      <c r="AD36" s="9" t="n">
        <v>1</v>
      </c>
      <c r="AE36" s="9" t="n">
        <v>127</v>
      </c>
      <c r="AF36" s="9" t="n">
        <v>0</v>
      </c>
      <c r="AG36" s="9" t="n">
        <v>0</v>
      </c>
      <c r="AH36" s="6" t="str">
        <f aca="false">IF(AND(G36=AB36,IF(AND(ISNUMBER(H36),ISNUMBER(AC36)),ABS(N(H36)-N(AC36))&lt;=Settings!$B$9*MAX(1,ABS(N(AC36))),AND(H36="",AC36="")),IF(AND(ISNUMBER(J36),ISNUMBER(AD36)),ABS(N(J36)-N(AD36))&lt;=Settings!$B$9*MAX(1,ABS(N(AD36))),AND(J36="",AD36="")),IF(AND(ISNUMBER(K36),ISNUMBER(AE36)),ABS(N(K36)-N(AE36))&lt;=Settings!$B$9*MAX(1,ABS(N(AE36))),AND(K36="",AE36="")),L36=AF36,I36=AG36),"ok","CHECK")</f>
        <v>ok</v>
      </c>
      <c r="AI36" s="6" t="str">
        <f aca="false">IF(AND(IF(AND(ISNUMBER(O36),ISNUMBER(V36)),ABS(N(O36)-N(V36))&lt;=Settings!$B$9*MAX(1,ABS(N(V36))),AND(O36="",V36="")),IF(AND(ISNUMBER(P36),ISNUMBER(W36)),ABS(N(P36)-N(W36))&lt;=Settings!$B$9*MAX(1,ABS(N(W36))),AND(P36="",W36="")),IF(AND(ISNUMBER(Q36),ISNUMBER(X36)),ABS(N(Q36)-N(X36))&lt;=Settings!$B$9*MAX(1,ABS(N(X36))),AND(Q36="",X36="")),IF(AND(ISNUMBER(R36),ISNUMBER(Y36)),ABS(N(R36)-N(Y36))&lt;=Settings!$B$9*MAX(1,ABS(N(Y36))),AND(R36="",Y36="")),T36=Z36,IF(AND(ISNUMBER(U36),ISNUMBER(AA36)),ABS(N(U36)-N(AA36))&lt;=Settings!$B$9*MAX(1,ABS(N(AA36))),AND(U36="",AA36=""))),"ok","CHECK")</f>
        <v>ok</v>
      </c>
      <c r="AJ36" s="2"/>
      <c r="AK36" s="6" t="n">
        <f aca="false">IF(ISNUMBER(P36),1,0)</f>
        <v>1</v>
      </c>
      <c r="AL36" s="6" t="n">
        <f aca="false">COUNTIFS(Runs!$B$2:$B$61,B36,Runs!$E$2:$E$61,E36,Runs!$N$2:$N$61,N36,Runs!$AK$2:$AK$61,1)</f>
        <v>2</v>
      </c>
      <c r="AM36" s="6" t="n">
        <f aca="false">IF(AK36=1,AVERAGEIFS(Runs!$P$2:$P$61,Runs!$B$2:$B$61,B36,Runs!$E$2:$E$61,E36,Runs!$N$2:$N$61,N36,Runs!$AK$2:$AK$61,1),"")</f>
        <v>3.55371273705535</v>
      </c>
      <c r="AN36" s="6" t="n">
        <f aca="false">IF(AK36=1,IF(AL36&gt;1,(P36-AM36)^2*AL36/(AL36-1),0),0)</f>
        <v>0.00654486422830737</v>
      </c>
      <c r="AO36" s="6" t="n">
        <f aca="false">IF(ISNUMBER(R36),1,0)</f>
        <v>1</v>
      </c>
      <c r="AP36" s="6" t="n">
        <f aca="false">COUNTIFS(Runs!$B$2:$B$61,B36,Runs!$E$2:$E$61,E36,Runs!$N$2:$N$61,N36,Runs!$AO$2:$AO$61,1)</f>
        <v>2</v>
      </c>
      <c r="AQ36" s="6" t="n">
        <f aca="false">IF(AO36=1,AVERAGEIFS(Runs!$R$2:$R$61,Runs!$B$2:$B$61,B36,Runs!$E$2:$E$61,E36,Runs!$N$2:$N$61,N36,Runs!$AO$2:$AO$61,1),"")</f>
        <v>92.595</v>
      </c>
      <c r="AR36" s="6" t="n">
        <f aca="false">IF(AO36=1,IF(AP36&gt;1,(R36-AQ36)^2*AP36/(AP36-1),0),0)</f>
        <v>27.45405</v>
      </c>
      <c r="AS36" s="6" t="n">
        <f aca="false">IF(ISNUMBER(J36),1,0)</f>
        <v>1</v>
      </c>
      <c r="AT36" s="6" t="n">
        <f aca="false">COUNTIFS(Runs!$B$2:$B$61,B36,Runs!$E$2:$E$61,E36,Runs!$N$2:$N$61,N36,Runs!$AS$2:$AS$61,1)</f>
        <v>2</v>
      </c>
      <c r="AU36" s="6" t="n">
        <f aca="false">IF(AS36=1,AVERAGEIFS(Runs!$J$2:$J$61,Runs!$B$2:$B$61,B36,Runs!$E$2:$E$61,E36,Runs!$N$2:$N$61,N36,Runs!$AS$2:$AS$61,1),"")</f>
        <v>1</v>
      </c>
      <c r="AV36" s="6" t="n">
        <f aca="false">IF(AS36=1,IF(AT36&gt;1,(J36-AU36)^2*AT36/(AT36-1),0),0)</f>
        <v>0</v>
      </c>
      <c r="AW36" s="6" t="n">
        <f aca="false">IF(ISNUMBER(Q36),1,0)</f>
        <v>1</v>
      </c>
      <c r="AX36" s="6" t="n">
        <f aca="false">COUNTIFS(Runs!$B$2:$B$61,B36,Runs!$E$2:$E$61,E36,Runs!$N$2:$N$61,N36,Runs!$AW$2:$AW$61,1)</f>
        <v>2</v>
      </c>
      <c r="AY36" s="6" t="n">
        <f aca="false">IF(AW36=1,AVERAGEIFS(Runs!$Q$2:$Q$61,Runs!$B$2:$B$61,B36,Runs!$E$2:$E$61,E36,Runs!$N$2:$N$61,N36,Runs!$AW$2:$AW$61,1),"")</f>
        <v>4.95339105974278</v>
      </c>
      <c r="AZ36" s="6" t="n">
        <f aca="false">IF(AW36=1,IF(AX36&gt;1,(Q36-AY36)^2*AX36/(AX36-1),0),0)</f>
        <v>0.0238510155621074</v>
      </c>
    </row>
    <row r="37" customFormat="false" ht="15" hidden="false" customHeight="false" outlineLevel="0" collapsed="false">
      <c r="A37" s="9" t="s">
        <v>154</v>
      </c>
      <c r="B37" s="9" t="s">
        <v>104</v>
      </c>
      <c r="C37" s="9" t="s">
        <v>135</v>
      </c>
      <c r="D37" s="9" t="s">
        <v>126</v>
      </c>
      <c r="E37" s="9" t="s">
        <v>115</v>
      </c>
      <c r="F37" s="9" t="n">
        <v>2</v>
      </c>
      <c r="G37" s="9" t="s">
        <v>108</v>
      </c>
      <c r="H37" s="9" t="n">
        <v>33</v>
      </c>
      <c r="I37" s="9" t="n">
        <v>0</v>
      </c>
      <c r="J37" s="9" t="n">
        <v>1</v>
      </c>
      <c r="K37" s="9" t="n">
        <v>158</v>
      </c>
      <c r="L37" s="9" t="n">
        <v>0</v>
      </c>
      <c r="M37" s="9" t="n">
        <v>1</v>
      </c>
      <c r="N37" s="6" t="str">
        <f aca="false">C37&amp;"|"&amp;D37</f>
        <v>message-board|no_verification</v>
      </c>
      <c r="O37" s="6" t="n">
        <f aca="false">IF(G37="finished",0,1)</f>
        <v>0</v>
      </c>
      <c r="P37" s="6" t="n">
        <f aca="false">IF(O37=0,LN(H37),"")</f>
        <v>3.49650756146648</v>
      </c>
      <c r="Q37" s="6" t="n">
        <f aca="false">IF(ISNUMBER(K37),IF(K37&gt;0,LN(K37),""),"")</f>
        <v>5.06259503302697</v>
      </c>
      <c r="R37" s="6" t="n">
        <f aca="false">IF(M37=1,INDEX(Quality!$AF:$AF,MATCH(A37,Quality!$A:$A,0)),"")</f>
        <v>88.89</v>
      </c>
      <c r="S37" s="6" t="n">
        <f aca="false">IF(R37="","",IF(T37=1,0,R37))</f>
        <v>0</v>
      </c>
      <c r="T37" s="6" t="n">
        <f aca="false">IF(M37=1,INDEX(Quality!$AG:$AG,MATCH(A37,Quality!$A:$A,0)),0)</f>
        <v>1</v>
      </c>
      <c r="U37" s="6" t="n">
        <f aca="false">IF(M37=1,INDEX(Quality!$AS:$AS,MATCH(A37,Quality!$A:$A,0)),"")</f>
        <v>0.75</v>
      </c>
      <c r="V37" s="9" t="n">
        <v>0</v>
      </c>
      <c r="W37" s="9" t="n">
        <v>3.49651</v>
      </c>
      <c r="X37" s="9" t="n">
        <v>5.0626</v>
      </c>
      <c r="Y37" s="9" t="n">
        <v>88.89</v>
      </c>
      <c r="Z37" s="9" t="n">
        <v>1</v>
      </c>
      <c r="AA37" s="9" t="n">
        <v>0.75</v>
      </c>
      <c r="AB37" s="9" t="s">
        <v>108</v>
      </c>
      <c r="AC37" s="9" t="n">
        <v>33</v>
      </c>
      <c r="AD37" s="9" t="n">
        <v>1</v>
      </c>
      <c r="AE37" s="9" t="n">
        <v>158</v>
      </c>
      <c r="AF37" s="9" t="n">
        <v>0</v>
      </c>
      <c r="AG37" s="9" t="n">
        <v>0</v>
      </c>
      <c r="AH37" s="6" t="str">
        <f aca="false">IF(AND(G37=AB37,IF(AND(ISNUMBER(H37),ISNUMBER(AC37)),ABS(N(H37)-N(AC37))&lt;=Settings!$B$9*MAX(1,ABS(N(AC37))),AND(H37="",AC37="")),IF(AND(ISNUMBER(J37),ISNUMBER(AD37)),ABS(N(J37)-N(AD37))&lt;=Settings!$B$9*MAX(1,ABS(N(AD37))),AND(J37="",AD37="")),IF(AND(ISNUMBER(K37),ISNUMBER(AE37)),ABS(N(K37)-N(AE37))&lt;=Settings!$B$9*MAX(1,ABS(N(AE37))),AND(K37="",AE37="")),L37=AF37,I37=AG37),"ok","CHECK")</f>
        <v>ok</v>
      </c>
      <c r="AI37" s="6" t="str">
        <f aca="false">IF(AND(IF(AND(ISNUMBER(O37),ISNUMBER(V37)),ABS(N(O37)-N(V37))&lt;=Settings!$B$9*MAX(1,ABS(N(V37))),AND(O37="",V37="")),IF(AND(ISNUMBER(P37),ISNUMBER(W37)),ABS(N(P37)-N(W37))&lt;=Settings!$B$9*MAX(1,ABS(N(W37))),AND(P37="",W37="")),IF(AND(ISNUMBER(Q37),ISNUMBER(X37)),ABS(N(Q37)-N(X37))&lt;=Settings!$B$9*MAX(1,ABS(N(X37))),AND(Q37="",X37="")),IF(AND(ISNUMBER(R37),ISNUMBER(Y37)),ABS(N(R37)-N(Y37))&lt;=Settings!$B$9*MAX(1,ABS(N(Y37))),AND(R37="",Y37="")),T37=Z37,IF(AND(ISNUMBER(U37),ISNUMBER(AA37)),ABS(N(U37)-N(AA37))&lt;=Settings!$B$9*MAX(1,ABS(N(AA37))),AND(U37="",AA37=""))),"ok","CHECK")</f>
        <v>ok</v>
      </c>
      <c r="AJ37" s="2"/>
      <c r="AK37" s="6" t="n">
        <f aca="false">IF(ISNUMBER(P37),1,0)</f>
        <v>1</v>
      </c>
      <c r="AL37" s="6" t="n">
        <f aca="false">COUNTIFS(Runs!$B$2:$B$61,B37,Runs!$E$2:$E$61,E37,Runs!$N$2:$N$61,N37,Runs!$AK$2:$AK$61,1)</f>
        <v>2</v>
      </c>
      <c r="AM37" s="6" t="n">
        <f aca="false">IF(AK37=1,AVERAGEIFS(Runs!$P$2:$P$61,Runs!$B$2:$B$61,B37,Runs!$E$2:$E$61,E37,Runs!$N$2:$N$61,N37,Runs!$AK$2:$AK$61,1),"")</f>
        <v>3.55371273705535</v>
      </c>
      <c r="AN37" s="6" t="n">
        <f aca="false">IF(AK37=1,IF(AL37&gt;1,(P37-AM37)^2*AL37/(AL37-1),0),0)</f>
        <v>0.00654486422830737</v>
      </c>
      <c r="AO37" s="6" t="n">
        <f aca="false">IF(ISNUMBER(R37),1,0)</f>
        <v>1</v>
      </c>
      <c r="AP37" s="6" t="n">
        <f aca="false">COUNTIFS(Runs!$B$2:$B$61,B37,Runs!$E$2:$E$61,E37,Runs!$N$2:$N$61,N37,Runs!$AO$2:$AO$61,1)</f>
        <v>2</v>
      </c>
      <c r="AQ37" s="6" t="n">
        <f aca="false">IF(AO37=1,AVERAGEIFS(Runs!$R$2:$R$61,Runs!$B$2:$B$61,B37,Runs!$E$2:$E$61,E37,Runs!$N$2:$N$61,N37,Runs!$AO$2:$AO$61,1),"")</f>
        <v>92.595</v>
      </c>
      <c r="AR37" s="6" t="n">
        <f aca="false">IF(AO37=1,IF(AP37&gt;1,(R37-AQ37)^2*AP37/(AP37-1),0),0)</f>
        <v>27.45405</v>
      </c>
      <c r="AS37" s="6" t="n">
        <f aca="false">IF(ISNUMBER(J37),1,0)</f>
        <v>1</v>
      </c>
      <c r="AT37" s="6" t="n">
        <f aca="false">COUNTIFS(Runs!$B$2:$B$61,B37,Runs!$E$2:$E$61,E37,Runs!$N$2:$N$61,N37,Runs!$AS$2:$AS$61,1)</f>
        <v>2</v>
      </c>
      <c r="AU37" s="6" t="n">
        <f aca="false">IF(AS37=1,AVERAGEIFS(Runs!$J$2:$J$61,Runs!$B$2:$B$61,B37,Runs!$E$2:$E$61,E37,Runs!$N$2:$N$61,N37,Runs!$AS$2:$AS$61,1),"")</f>
        <v>1</v>
      </c>
      <c r="AV37" s="6" t="n">
        <f aca="false">IF(AS37=1,IF(AT37&gt;1,(J37-AU37)^2*AT37/(AT37-1),0),0)</f>
        <v>0</v>
      </c>
      <c r="AW37" s="6" t="n">
        <f aca="false">IF(ISNUMBER(Q37),1,0)</f>
        <v>1</v>
      </c>
      <c r="AX37" s="6" t="n">
        <f aca="false">COUNTIFS(Runs!$B$2:$B$61,B37,Runs!$E$2:$E$61,E37,Runs!$N$2:$N$61,N37,Runs!$AW$2:$AW$61,1)</f>
        <v>2</v>
      </c>
      <c r="AY37" s="6" t="n">
        <f aca="false">IF(AW37=1,AVERAGEIFS(Runs!$Q$2:$Q$61,Runs!$B$2:$B$61,B37,Runs!$E$2:$E$61,E37,Runs!$N$2:$N$61,N37,Runs!$AW$2:$AW$61,1),"")</f>
        <v>4.95339105974278</v>
      </c>
      <c r="AZ37" s="6" t="n">
        <f aca="false">IF(AW37=1,IF(AX37&gt;1,(Q37-AY37)^2*AX37/(AX37-1),0),0)</f>
        <v>0.023851015562107</v>
      </c>
    </row>
    <row r="38" customFormat="false" ht="15" hidden="false" customHeight="false" outlineLevel="0" collapsed="false">
      <c r="A38" s="9" t="s">
        <v>155</v>
      </c>
      <c r="B38" s="9" t="s">
        <v>156</v>
      </c>
      <c r="C38" s="9" t="s">
        <v>105</v>
      </c>
      <c r="D38" s="9" t="s">
        <v>106</v>
      </c>
      <c r="E38" s="9" t="s">
        <v>111</v>
      </c>
      <c r="F38" s="9" t="n">
        <v>1</v>
      </c>
      <c r="G38" s="9" t="s">
        <v>108</v>
      </c>
      <c r="H38" s="9" t="n">
        <v>45</v>
      </c>
      <c r="I38" s="9" t="n">
        <v>0</v>
      </c>
      <c r="J38" s="9" t="n">
        <v>0.6</v>
      </c>
      <c r="K38" s="9" t="n">
        <v>484</v>
      </c>
      <c r="L38" s="9" t="n">
        <v>0</v>
      </c>
      <c r="M38" s="9" t="n">
        <v>1</v>
      </c>
      <c r="N38" s="6" t="str">
        <f aca="false">C38&amp;"|"&amp;D38</f>
        <v>kanban-board|execution</v>
      </c>
      <c r="O38" s="6" t="n">
        <f aca="false">IF(G38="finished",0,1)</f>
        <v>0</v>
      </c>
      <c r="P38" s="6" t="n">
        <f aca="false">IF(O38=0,LN(H38),"")</f>
        <v>3.80666248977032</v>
      </c>
      <c r="Q38" s="6" t="n">
        <f aca="false">IF(ISNUMBER(K38),IF(K38&gt;0,LN(K38),""),"")</f>
        <v>6.18208490671663</v>
      </c>
      <c r="R38" s="6" t="n">
        <f aca="false">IF(M38=1,INDEX(Quality!$AF:$AF,MATCH(A38,Quality!$A:$A,0)),"")</f>
        <v>12</v>
      </c>
      <c r="S38" s="6" t="n">
        <f aca="false">IF(R38="","",IF(T38=1,0,R38))</f>
        <v>12</v>
      </c>
      <c r="T38" s="6" t="n">
        <f aca="false">IF(M38=1,INDEX(Quality!$AG:$AG,MATCH(A38,Quality!$A:$A,0)),0)</f>
        <v>0</v>
      </c>
      <c r="U38" s="6" t="n">
        <f aca="false">IF(M38=1,INDEX(Quality!$AS:$AS,MATCH(A38,Quality!$A:$A,0)),"")</f>
        <v>0.7</v>
      </c>
      <c r="V38" s="9" t="n">
        <v>0</v>
      </c>
      <c r="W38" s="9" t="n">
        <v>3.80666</v>
      </c>
      <c r="X38" s="9" t="n">
        <v>6.18208</v>
      </c>
      <c r="Y38" s="9" t="n">
        <v>12</v>
      </c>
      <c r="Z38" s="9" t="n">
        <v>0</v>
      </c>
      <c r="AA38" s="9" t="n">
        <v>0.7</v>
      </c>
      <c r="AB38" s="9" t="s">
        <v>108</v>
      </c>
      <c r="AC38" s="9" t="n">
        <v>45</v>
      </c>
      <c r="AD38" s="9" t="n">
        <v>0.6</v>
      </c>
      <c r="AE38" s="9" t="n">
        <v>484</v>
      </c>
      <c r="AF38" s="9" t="n">
        <v>0</v>
      </c>
      <c r="AG38" s="9" t="n">
        <v>0</v>
      </c>
      <c r="AH38" s="6" t="str">
        <f aca="false">IF(AND(G38=AB38,IF(AND(ISNUMBER(H38),ISNUMBER(AC38)),ABS(N(H38)-N(AC38))&lt;=Settings!$B$9*MAX(1,ABS(N(AC38))),AND(H38="",AC38="")),IF(AND(ISNUMBER(J38),ISNUMBER(AD38)),ABS(N(J38)-N(AD38))&lt;=Settings!$B$9*MAX(1,ABS(N(AD38))),AND(J38="",AD38="")),IF(AND(ISNUMBER(K38),ISNUMBER(AE38)),ABS(N(K38)-N(AE38))&lt;=Settings!$B$9*MAX(1,ABS(N(AE38))),AND(K38="",AE38="")),L38=AF38,I38=AG38),"ok","CHECK")</f>
        <v>ok</v>
      </c>
      <c r="AI38" s="6" t="str">
        <f aca="false">IF(AND(IF(AND(ISNUMBER(O38),ISNUMBER(V38)),ABS(N(O38)-N(V38))&lt;=Settings!$B$9*MAX(1,ABS(N(V38))),AND(O38="",V38="")),IF(AND(ISNUMBER(P38),ISNUMBER(W38)),ABS(N(P38)-N(W38))&lt;=Settings!$B$9*MAX(1,ABS(N(W38))),AND(P38="",W38="")),IF(AND(ISNUMBER(Q38),ISNUMBER(X38)),ABS(N(Q38)-N(X38))&lt;=Settings!$B$9*MAX(1,ABS(N(X38))),AND(Q38="",X38="")),IF(AND(ISNUMBER(R38),ISNUMBER(Y38)),ABS(N(R38)-N(Y38))&lt;=Settings!$B$9*MAX(1,ABS(N(Y38))),AND(R38="",Y38="")),T38=Z38,IF(AND(ISNUMBER(U38),ISNUMBER(AA38)),ABS(N(U38)-N(AA38))&lt;=Settings!$B$9*MAX(1,ABS(N(AA38))),AND(U38="",AA38=""))),"ok","CHECK")</f>
        <v>ok</v>
      </c>
      <c r="AJ38" s="2"/>
      <c r="AK38" s="6" t="n">
        <f aca="false">IF(ISNUMBER(P38),1,0)</f>
        <v>1</v>
      </c>
      <c r="AL38" s="6" t="n">
        <f aca="false">COUNTIFS(Runs!$B$2:$B$61,B38,Runs!$E$2:$E$61,E38,Runs!$N$2:$N$61,N38,Runs!$AK$2:$AK$61,1)</f>
        <v>2</v>
      </c>
      <c r="AM38" s="6" t="n">
        <f aca="false">IF(AK38=1,AVERAGEIFS(Runs!$P$2:$P$61,Runs!$B$2:$B$61,B38,Runs!$E$2:$E$61,E38,Runs!$N$2:$N$61,N38,Runs!$AK$2:$AK$61,1),"")</f>
        <v>4.14199965212426</v>
      </c>
      <c r="AN38" s="6" t="n">
        <f aca="false">IF(AK38=1,IF(AL38&gt;1,(P38-AM38)^2*AL38/(AL38-1),0),0)</f>
        <v>0.22490202491119</v>
      </c>
      <c r="AO38" s="6" t="n">
        <f aca="false">IF(ISNUMBER(R38),1,0)</f>
        <v>1</v>
      </c>
      <c r="AP38" s="6" t="n">
        <f aca="false">COUNTIFS(Runs!$B$2:$B$61,B38,Runs!$E$2:$E$61,E38,Runs!$N$2:$N$61,N38,Runs!$AO$2:$AO$61,1)</f>
        <v>2</v>
      </c>
      <c r="AQ38" s="6" t="n">
        <f aca="false">IF(AO38=1,AVERAGEIFS(Runs!$R$2:$R$61,Runs!$B$2:$B$61,B38,Runs!$E$2:$E$61,E38,Runs!$N$2:$N$61,N38,Runs!$AO$2:$AO$61,1),"")</f>
        <v>12</v>
      </c>
      <c r="AR38" s="6" t="n">
        <f aca="false">IF(AO38=1,IF(AP38&gt;1,(R38-AQ38)^2*AP38/(AP38-1),0),0)</f>
        <v>0</v>
      </c>
      <c r="AS38" s="6" t="n">
        <f aca="false">IF(ISNUMBER(J38),1,0)</f>
        <v>1</v>
      </c>
      <c r="AT38" s="6" t="n">
        <f aca="false">COUNTIFS(Runs!$B$2:$B$61,B38,Runs!$E$2:$E$61,E38,Runs!$N$2:$N$61,N38,Runs!$AS$2:$AS$61,1)</f>
        <v>2</v>
      </c>
      <c r="AU38" s="6" t="n">
        <f aca="false">IF(AS38=1,AVERAGEIFS(Runs!$J$2:$J$61,Runs!$B$2:$B$61,B38,Runs!$E$2:$E$61,E38,Runs!$N$2:$N$61,N38,Runs!$AS$2:$AS$61,1),"")</f>
        <v>0.6863635</v>
      </c>
      <c r="AV38" s="6" t="n">
        <f aca="false">IF(AS38=1,IF(AT38&gt;1,(J38-AU38)^2*AT38/(AT38-1),0),0)</f>
        <v>0.0149173082645</v>
      </c>
      <c r="AW38" s="6" t="n">
        <f aca="false">IF(ISNUMBER(Q38),1,0)</f>
        <v>1</v>
      </c>
      <c r="AX38" s="6" t="n">
        <f aca="false">COUNTIFS(Runs!$B$2:$B$61,B38,Runs!$E$2:$E$61,E38,Runs!$N$2:$N$61,N38,Runs!$AW$2:$AW$61,1)</f>
        <v>2</v>
      </c>
      <c r="AY38" s="6" t="n">
        <f aca="false">IF(AW38=1,AVERAGEIFS(Runs!$Q$2:$Q$61,Runs!$B$2:$B$61,B38,Runs!$E$2:$E$61,E38,Runs!$N$2:$N$61,N38,Runs!$AW$2:$AW$61,1),"")</f>
        <v>6.05583702505326</v>
      </c>
      <c r="AZ38" s="6" t="n">
        <f aca="false">IF(AW38=1,IF(AX38&gt;1,(Q38-AY38)^2*AX38/(AX38-1),0),0)</f>
        <v>0.0318770552489762</v>
      </c>
    </row>
    <row r="39" customFormat="false" ht="15" hidden="false" customHeight="false" outlineLevel="0" collapsed="false">
      <c r="A39" s="9" t="s">
        <v>157</v>
      </c>
      <c r="B39" s="9" t="s">
        <v>156</v>
      </c>
      <c r="C39" s="9" t="s">
        <v>105</v>
      </c>
      <c r="D39" s="9" t="s">
        <v>106</v>
      </c>
      <c r="E39" s="9" t="s">
        <v>111</v>
      </c>
      <c r="F39" s="9" t="n">
        <v>2</v>
      </c>
      <c r="G39" s="9" t="s">
        <v>108</v>
      </c>
      <c r="H39" s="9" t="n">
        <v>88</v>
      </c>
      <c r="I39" s="9" t="n">
        <v>1</v>
      </c>
      <c r="J39" s="9" t="n">
        <v>0.772727</v>
      </c>
      <c r="K39" s="9" t="n">
        <v>376</v>
      </c>
      <c r="L39" s="9" t="n">
        <v>1</v>
      </c>
      <c r="M39" s="9" t="n">
        <v>1</v>
      </c>
      <c r="N39" s="6" t="str">
        <f aca="false">C39&amp;"|"&amp;D39</f>
        <v>kanban-board|execution</v>
      </c>
      <c r="O39" s="6" t="n">
        <f aca="false">IF(G39="finished",0,1)</f>
        <v>0</v>
      </c>
      <c r="P39" s="6" t="n">
        <f aca="false">IF(O39=0,LN(H39),"")</f>
        <v>4.47733681447821</v>
      </c>
      <c r="Q39" s="6" t="n">
        <f aca="false">IF(ISNUMBER(K39),IF(K39&gt;0,LN(K39),""),"")</f>
        <v>5.9295891433899</v>
      </c>
      <c r="R39" s="6" t="n">
        <f aca="false">IF(M39=1,INDEX(Quality!$AF:$AF,MATCH(A39,Quality!$A:$A,0)),"")</f>
        <v>12</v>
      </c>
      <c r="S39" s="6" t="n">
        <f aca="false">IF(R39="","",IF(T39=1,0,R39))</f>
        <v>12</v>
      </c>
      <c r="T39" s="6" t="n">
        <f aca="false">IF(M39=1,INDEX(Quality!$AG:$AG,MATCH(A39,Quality!$A:$A,0)),0)</f>
        <v>0</v>
      </c>
      <c r="U39" s="6" t="n">
        <f aca="false">IF(M39=1,INDEX(Quality!$AS:$AS,MATCH(A39,Quality!$A:$A,0)),"")</f>
        <v>0.7</v>
      </c>
      <c r="V39" s="9" t="n">
        <v>0</v>
      </c>
      <c r="W39" s="9" t="n">
        <v>4.47734</v>
      </c>
      <c r="X39" s="9" t="n">
        <v>5.92959</v>
      </c>
      <c r="Y39" s="9" t="n">
        <v>12</v>
      </c>
      <c r="Z39" s="9" t="n">
        <v>0</v>
      </c>
      <c r="AA39" s="9" t="n">
        <v>0.7</v>
      </c>
      <c r="AB39" s="9" t="s">
        <v>108</v>
      </c>
      <c r="AC39" s="9" t="n">
        <v>88</v>
      </c>
      <c r="AD39" s="9" t="n">
        <v>0.772727272727273</v>
      </c>
      <c r="AE39" s="9" t="n">
        <v>376</v>
      </c>
      <c r="AF39" s="9" t="n">
        <v>1</v>
      </c>
      <c r="AG39" s="9" t="n">
        <v>1</v>
      </c>
      <c r="AH39" s="6" t="str">
        <f aca="false">IF(AND(G39=AB39,IF(AND(ISNUMBER(H39),ISNUMBER(AC39)),ABS(N(H39)-N(AC39))&lt;=Settings!$B$9*MAX(1,ABS(N(AC39))),AND(H39="",AC39="")),IF(AND(ISNUMBER(J39),ISNUMBER(AD39)),ABS(N(J39)-N(AD39))&lt;=Settings!$B$9*MAX(1,ABS(N(AD39))),AND(J39="",AD39="")),IF(AND(ISNUMBER(K39),ISNUMBER(AE39)),ABS(N(K39)-N(AE39))&lt;=Settings!$B$9*MAX(1,ABS(N(AE39))),AND(K39="",AE39="")),L39=AF39,I39=AG39),"ok","CHECK")</f>
        <v>ok</v>
      </c>
      <c r="AI39" s="6" t="str">
        <f aca="false">IF(AND(IF(AND(ISNUMBER(O39),ISNUMBER(V39)),ABS(N(O39)-N(V39))&lt;=Settings!$B$9*MAX(1,ABS(N(V39))),AND(O39="",V39="")),IF(AND(ISNUMBER(P39),ISNUMBER(W39)),ABS(N(P39)-N(W39))&lt;=Settings!$B$9*MAX(1,ABS(N(W39))),AND(P39="",W39="")),IF(AND(ISNUMBER(Q39),ISNUMBER(X39)),ABS(N(Q39)-N(X39))&lt;=Settings!$B$9*MAX(1,ABS(N(X39))),AND(Q39="",X39="")),IF(AND(ISNUMBER(R39),ISNUMBER(Y39)),ABS(N(R39)-N(Y39))&lt;=Settings!$B$9*MAX(1,ABS(N(Y39))),AND(R39="",Y39="")),T39=Z39,IF(AND(ISNUMBER(U39),ISNUMBER(AA39)),ABS(N(U39)-N(AA39))&lt;=Settings!$B$9*MAX(1,ABS(N(AA39))),AND(U39="",AA39=""))),"ok","CHECK")</f>
        <v>ok</v>
      </c>
      <c r="AJ39" s="2"/>
      <c r="AK39" s="6" t="n">
        <f aca="false">IF(ISNUMBER(P39),1,0)</f>
        <v>1</v>
      </c>
      <c r="AL39" s="6" t="n">
        <f aca="false">COUNTIFS(Runs!$B$2:$B$61,B39,Runs!$E$2:$E$61,E39,Runs!$N$2:$N$61,N39,Runs!$AK$2:$AK$61,1)</f>
        <v>2</v>
      </c>
      <c r="AM39" s="6" t="n">
        <f aca="false">IF(AK39=1,AVERAGEIFS(Runs!$P$2:$P$61,Runs!$B$2:$B$61,B39,Runs!$E$2:$E$61,E39,Runs!$N$2:$N$61,N39,Runs!$AK$2:$AK$61,1),"")</f>
        <v>4.14199965212426</v>
      </c>
      <c r="AN39" s="6" t="n">
        <f aca="false">IF(AK39=1,IF(AL39&gt;1,(P39-AM39)^2*AL39/(AL39-1),0),0)</f>
        <v>0.22490202491119</v>
      </c>
      <c r="AO39" s="6" t="n">
        <f aca="false">IF(ISNUMBER(R39),1,0)</f>
        <v>1</v>
      </c>
      <c r="AP39" s="6" t="n">
        <f aca="false">COUNTIFS(Runs!$B$2:$B$61,B39,Runs!$E$2:$E$61,E39,Runs!$N$2:$N$61,N39,Runs!$AO$2:$AO$61,1)</f>
        <v>2</v>
      </c>
      <c r="AQ39" s="6" t="n">
        <f aca="false">IF(AO39=1,AVERAGEIFS(Runs!$R$2:$R$61,Runs!$B$2:$B$61,B39,Runs!$E$2:$E$61,E39,Runs!$N$2:$N$61,N39,Runs!$AO$2:$AO$61,1),"")</f>
        <v>12</v>
      </c>
      <c r="AR39" s="6" t="n">
        <f aca="false">IF(AO39=1,IF(AP39&gt;1,(R39-AQ39)^2*AP39/(AP39-1),0),0)</f>
        <v>0</v>
      </c>
      <c r="AS39" s="6" t="n">
        <f aca="false">IF(ISNUMBER(J39),1,0)</f>
        <v>1</v>
      </c>
      <c r="AT39" s="6" t="n">
        <f aca="false">COUNTIFS(Runs!$B$2:$B$61,B39,Runs!$E$2:$E$61,E39,Runs!$N$2:$N$61,N39,Runs!$AS$2:$AS$61,1)</f>
        <v>2</v>
      </c>
      <c r="AU39" s="6" t="n">
        <f aca="false">IF(AS39=1,AVERAGEIFS(Runs!$J$2:$J$61,Runs!$B$2:$B$61,B39,Runs!$E$2:$E$61,E39,Runs!$N$2:$N$61,N39,Runs!$AS$2:$AS$61,1),"")</f>
        <v>0.6863635</v>
      </c>
      <c r="AV39" s="6" t="n">
        <f aca="false">IF(AS39=1,IF(AT39&gt;1,(J39-AU39)^2*AT39/(AT39-1),0),0)</f>
        <v>0.0149173082645</v>
      </c>
      <c r="AW39" s="6" t="n">
        <f aca="false">IF(ISNUMBER(Q39),1,0)</f>
        <v>1</v>
      </c>
      <c r="AX39" s="6" t="n">
        <f aca="false">COUNTIFS(Runs!$B$2:$B$61,B39,Runs!$E$2:$E$61,E39,Runs!$N$2:$N$61,N39,Runs!$AW$2:$AW$61,1)</f>
        <v>2</v>
      </c>
      <c r="AY39" s="6" t="n">
        <f aca="false">IF(AW39=1,AVERAGEIFS(Runs!$Q$2:$Q$61,Runs!$B$2:$B$61,B39,Runs!$E$2:$E$61,E39,Runs!$N$2:$N$61,N39,Runs!$AW$2:$AW$61,1),"")</f>
        <v>6.05583702505326</v>
      </c>
      <c r="AZ39" s="6" t="n">
        <f aca="false">IF(AW39=1,IF(AX39&gt;1,(Q39-AY39)^2*AX39/(AX39-1),0),0)</f>
        <v>0.0318770552489757</v>
      </c>
    </row>
    <row r="40" customFormat="false" ht="15" hidden="false" customHeight="false" outlineLevel="0" collapsed="false">
      <c r="A40" s="9" t="s">
        <v>158</v>
      </c>
      <c r="B40" s="9" t="s">
        <v>156</v>
      </c>
      <c r="C40" s="9" t="s">
        <v>105</v>
      </c>
      <c r="D40" s="9" t="s">
        <v>106</v>
      </c>
      <c r="E40" s="9" t="s">
        <v>115</v>
      </c>
      <c r="F40" s="9" t="n">
        <v>1</v>
      </c>
      <c r="G40" s="9" t="s">
        <v>108</v>
      </c>
      <c r="H40" s="9" t="n">
        <v>41</v>
      </c>
      <c r="I40" s="9" t="n">
        <v>1</v>
      </c>
      <c r="J40" s="9" t="n">
        <v>1</v>
      </c>
      <c r="K40" s="9" t="n">
        <v>150</v>
      </c>
      <c r="L40" s="9" t="n">
        <v>0</v>
      </c>
      <c r="M40" s="9" t="n">
        <v>1</v>
      </c>
      <c r="N40" s="6" t="str">
        <f aca="false">C40&amp;"|"&amp;D40</f>
        <v>kanban-board|execution</v>
      </c>
      <c r="O40" s="6" t="n">
        <f aca="false">IF(G40="finished",0,1)</f>
        <v>0</v>
      </c>
      <c r="P40" s="6" t="n">
        <f aca="false">IF(O40=0,LN(H40),"")</f>
        <v>3.71357206670431</v>
      </c>
      <c r="Q40" s="6" t="n">
        <f aca="false">IF(ISNUMBER(K40),IF(K40&gt;0,LN(K40),""),"")</f>
        <v>5.01063529409626</v>
      </c>
      <c r="R40" s="6" t="n">
        <f aca="false">IF(M40=1,INDEX(Quality!$AF:$AF,MATCH(A40,Quality!$A:$A,0)),"")</f>
        <v>86</v>
      </c>
      <c r="S40" s="6" t="n">
        <f aca="false">IF(R40="","",IF(T40=1,0,R40))</f>
        <v>86</v>
      </c>
      <c r="T40" s="6" t="n">
        <f aca="false">IF(M40=1,INDEX(Quality!$AG:$AG,MATCH(A40,Quality!$A:$A,0)),0)</f>
        <v>0</v>
      </c>
      <c r="U40" s="6" t="n">
        <f aca="false">IF(M40=1,INDEX(Quality!$AS:$AS,MATCH(A40,Quality!$A:$A,0)),"")</f>
        <v>0.7</v>
      </c>
      <c r="V40" s="9" t="n">
        <v>0</v>
      </c>
      <c r="W40" s="9" t="n">
        <v>3.71357</v>
      </c>
      <c r="X40" s="9" t="n">
        <v>5.01064</v>
      </c>
      <c r="Y40" s="9" t="n">
        <v>86</v>
      </c>
      <c r="Z40" s="9" t="n">
        <v>0</v>
      </c>
      <c r="AA40" s="9" t="n">
        <v>0.7</v>
      </c>
      <c r="AB40" s="9" t="s">
        <v>108</v>
      </c>
      <c r="AC40" s="9" t="n">
        <v>41</v>
      </c>
      <c r="AD40" s="9" t="n">
        <v>1</v>
      </c>
      <c r="AE40" s="9" t="n">
        <v>150</v>
      </c>
      <c r="AF40" s="9" t="n">
        <v>0</v>
      </c>
      <c r="AG40" s="9" t="n">
        <v>1</v>
      </c>
      <c r="AH40" s="6" t="str">
        <f aca="false">IF(AND(G40=AB40,IF(AND(ISNUMBER(H40),ISNUMBER(AC40)),ABS(N(H40)-N(AC40))&lt;=Settings!$B$9*MAX(1,ABS(N(AC40))),AND(H40="",AC40="")),IF(AND(ISNUMBER(J40),ISNUMBER(AD40)),ABS(N(J40)-N(AD40))&lt;=Settings!$B$9*MAX(1,ABS(N(AD40))),AND(J40="",AD40="")),IF(AND(ISNUMBER(K40),ISNUMBER(AE40)),ABS(N(K40)-N(AE40))&lt;=Settings!$B$9*MAX(1,ABS(N(AE40))),AND(K40="",AE40="")),L40=AF40,I40=AG40),"ok","CHECK")</f>
        <v>ok</v>
      </c>
      <c r="AI40" s="6" t="str">
        <f aca="false">IF(AND(IF(AND(ISNUMBER(O40),ISNUMBER(V40)),ABS(N(O40)-N(V40))&lt;=Settings!$B$9*MAX(1,ABS(N(V40))),AND(O40="",V40="")),IF(AND(ISNUMBER(P40),ISNUMBER(W40)),ABS(N(P40)-N(W40))&lt;=Settings!$B$9*MAX(1,ABS(N(W40))),AND(P40="",W40="")),IF(AND(ISNUMBER(Q40),ISNUMBER(X40)),ABS(N(Q40)-N(X40))&lt;=Settings!$B$9*MAX(1,ABS(N(X40))),AND(Q40="",X40="")),IF(AND(ISNUMBER(R40),ISNUMBER(Y40)),ABS(N(R40)-N(Y40))&lt;=Settings!$B$9*MAX(1,ABS(N(Y40))),AND(R40="",Y40="")),T40=Z40,IF(AND(ISNUMBER(U40),ISNUMBER(AA40)),ABS(N(U40)-N(AA40))&lt;=Settings!$B$9*MAX(1,ABS(N(AA40))),AND(U40="",AA40=""))),"ok","CHECK")</f>
        <v>ok</v>
      </c>
      <c r="AJ40" s="2"/>
      <c r="AK40" s="6" t="n">
        <f aca="false">IF(ISNUMBER(P40),1,0)</f>
        <v>1</v>
      </c>
      <c r="AL40" s="6" t="n">
        <f aca="false">COUNTIFS(Runs!$B$2:$B$61,B40,Runs!$E$2:$E$61,E40,Runs!$N$2:$N$61,N40,Runs!$AK$2:$AK$61,1)</f>
        <v>2</v>
      </c>
      <c r="AM40" s="6" t="n">
        <f aca="false">IF(AK40=1,AVERAGEIFS(Runs!$P$2:$P$61,Runs!$B$2:$B$61,B40,Runs!$E$2:$E$61,E40,Runs!$N$2:$N$61,N40,Runs!$AK$2:$AK$61,1),"")</f>
        <v>3.98812597187281</v>
      </c>
      <c r="AN40" s="6" t="n">
        <f aca="false">IF(AK40=1,IF(AL40&gt;1,(P40-AM40)^2*AL40/(AL40-1),0),0)</f>
        <v>0.150759693686552</v>
      </c>
      <c r="AO40" s="6" t="n">
        <f aca="false">IF(ISNUMBER(R40),1,0)</f>
        <v>1</v>
      </c>
      <c r="AP40" s="6" t="n">
        <f aca="false">COUNTIFS(Runs!$B$2:$B$61,B40,Runs!$E$2:$E$61,E40,Runs!$N$2:$N$61,N40,Runs!$AO$2:$AO$61,1)</f>
        <v>2</v>
      </c>
      <c r="AQ40" s="6" t="n">
        <f aca="false">IF(AO40=1,AVERAGEIFS(Runs!$R$2:$R$61,Runs!$B$2:$B$61,B40,Runs!$E$2:$E$61,E40,Runs!$N$2:$N$61,N40,Runs!$AO$2:$AO$61,1),"")</f>
        <v>89</v>
      </c>
      <c r="AR40" s="6" t="n">
        <f aca="false">IF(AO40=1,IF(AP40&gt;1,(R40-AQ40)^2*AP40/(AP40-1),0),0)</f>
        <v>18</v>
      </c>
      <c r="AS40" s="6" t="n">
        <f aca="false">IF(ISNUMBER(J40),1,0)</f>
        <v>1</v>
      </c>
      <c r="AT40" s="6" t="n">
        <f aca="false">COUNTIFS(Runs!$B$2:$B$61,B40,Runs!$E$2:$E$61,E40,Runs!$N$2:$N$61,N40,Runs!$AS$2:$AS$61,1)</f>
        <v>2</v>
      </c>
      <c r="AU40" s="6" t="n">
        <f aca="false">IF(AS40=1,AVERAGEIFS(Runs!$J$2:$J$61,Runs!$B$2:$B$61,B40,Runs!$E$2:$E$61,E40,Runs!$N$2:$N$61,N40,Runs!$AS$2:$AS$61,1),"")</f>
        <v>0.9859155</v>
      </c>
      <c r="AV40" s="6" t="n">
        <f aca="false">IF(AS40=1,IF(AT40&gt;1,(J40-AU40)^2*AT40/(AT40-1),0),0)</f>
        <v>0.000396746280500003</v>
      </c>
      <c r="AW40" s="6" t="n">
        <f aca="false">IF(ISNUMBER(Q40),1,0)</f>
        <v>1</v>
      </c>
      <c r="AX40" s="6" t="n">
        <f aca="false">COUNTIFS(Runs!$B$2:$B$61,B40,Runs!$E$2:$E$61,E40,Runs!$N$2:$N$61,N40,Runs!$AW$2:$AW$61,1)</f>
        <v>2</v>
      </c>
      <c r="AY40" s="6" t="n">
        <f aca="false">IF(AW40=1,AVERAGEIFS(Runs!$Q$2:$Q$61,Runs!$B$2:$B$61,B40,Runs!$E$2:$E$61,E40,Runs!$N$2:$N$61,N40,Runs!$AW$2:$AW$61,1),"")</f>
        <v>5.0613115412264</v>
      </c>
      <c r="AZ40" s="6" t="n">
        <f aca="false">IF(AW40=1,IF(AX40&gt;1,(Q40-AY40)^2*AX40/(AX40-1),0),0)</f>
        <v>0.00513616404639087</v>
      </c>
    </row>
    <row r="41" customFormat="false" ht="15" hidden="false" customHeight="false" outlineLevel="0" collapsed="false">
      <c r="A41" s="9" t="s">
        <v>159</v>
      </c>
      <c r="B41" s="9" t="s">
        <v>156</v>
      </c>
      <c r="C41" s="9" t="s">
        <v>105</v>
      </c>
      <c r="D41" s="9" t="s">
        <v>106</v>
      </c>
      <c r="E41" s="9" t="s">
        <v>115</v>
      </c>
      <c r="F41" s="9" t="n">
        <v>2</v>
      </c>
      <c r="G41" s="9" t="s">
        <v>108</v>
      </c>
      <c r="H41" s="9" t="n">
        <v>71</v>
      </c>
      <c r="I41" s="9" t="n">
        <v>0</v>
      </c>
      <c r="J41" s="9" t="n">
        <v>0.971831</v>
      </c>
      <c r="K41" s="9" t="n">
        <v>166</v>
      </c>
      <c r="L41" s="9" t="n">
        <v>0</v>
      </c>
      <c r="M41" s="9" t="n">
        <v>1</v>
      </c>
      <c r="N41" s="6" t="str">
        <f aca="false">C41&amp;"|"&amp;D41</f>
        <v>kanban-board|execution</v>
      </c>
      <c r="O41" s="6" t="n">
        <f aca="false">IF(G41="finished",0,1)</f>
        <v>0</v>
      </c>
      <c r="P41" s="6" t="n">
        <f aca="false">IF(O41=0,LN(H41),"")</f>
        <v>4.26267987704132</v>
      </c>
      <c r="Q41" s="6" t="n">
        <f aca="false">IF(ISNUMBER(K41),IF(K41&gt;0,LN(K41),""),"")</f>
        <v>5.11198778835654</v>
      </c>
      <c r="R41" s="6" t="n">
        <f aca="false">IF(M41=1,INDEX(Quality!$AF:$AF,MATCH(A41,Quality!$A:$A,0)),"")</f>
        <v>92</v>
      </c>
      <c r="S41" s="6" t="n">
        <f aca="false">IF(R41="","",IF(T41=1,0,R41))</f>
        <v>92</v>
      </c>
      <c r="T41" s="6" t="n">
        <f aca="false">IF(M41=1,INDEX(Quality!$AG:$AG,MATCH(A41,Quality!$A:$A,0)),0)</f>
        <v>0</v>
      </c>
      <c r="U41" s="6" t="n">
        <f aca="false">IF(M41=1,INDEX(Quality!$AS:$AS,MATCH(A41,Quality!$A:$A,0)),"")</f>
        <v>0.7</v>
      </c>
      <c r="V41" s="9" t="n">
        <v>0</v>
      </c>
      <c r="W41" s="9" t="n">
        <v>4.26268</v>
      </c>
      <c r="X41" s="9" t="n">
        <v>5.11199</v>
      </c>
      <c r="Y41" s="9" t="n">
        <v>92</v>
      </c>
      <c r="Z41" s="9" t="n">
        <v>0</v>
      </c>
      <c r="AA41" s="9" t="n">
        <v>0.7</v>
      </c>
      <c r="AB41" s="9" t="s">
        <v>108</v>
      </c>
      <c r="AC41" s="9" t="n">
        <v>71</v>
      </c>
      <c r="AD41" s="9" t="n">
        <v>0.971830985915493</v>
      </c>
      <c r="AE41" s="9" t="n">
        <v>166</v>
      </c>
      <c r="AF41" s="9" t="n">
        <v>0</v>
      </c>
      <c r="AG41" s="9" t="n">
        <v>0</v>
      </c>
      <c r="AH41" s="6" t="str">
        <f aca="false">IF(AND(G41=AB41,IF(AND(ISNUMBER(H41),ISNUMBER(AC41)),ABS(N(H41)-N(AC41))&lt;=Settings!$B$9*MAX(1,ABS(N(AC41))),AND(H41="",AC41="")),IF(AND(ISNUMBER(J41),ISNUMBER(AD41)),ABS(N(J41)-N(AD41))&lt;=Settings!$B$9*MAX(1,ABS(N(AD41))),AND(J41="",AD41="")),IF(AND(ISNUMBER(K41),ISNUMBER(AE41)),ABS(N(K41)-N(AE41))&lt;=Settings!$B$9*MAX(1,ABS(N(AE41))),AND(K41="",AE41="")),L41=AF41,I41=AG41),"ok","CHECK")</f>
        <v>ok</v>
      </c>
      <c r="AI41" s="6" t="str">
        <f aca="false">IF(AND(IF(AND(ISNUMBER(O41),ISNUMBER(V41)),ABS(N(O41)-N(V41))&lt;=Settings!$B$9*MAX(1,ABS(N(V41))),AND(O41="",V41="")),IF(AND(ISNUMBER(P41),ISNUMBER(W41)),ABS(N(P41)-N(W41))&lt;=Settings!$B$9*MAX(1,ABS(N(W41))),AND(P41="",W41="")),IF(AND(ISNUMBER(Q41),ISNUMBER(X41)),ABS(N(Q41)-N(X41))&lt;=Settings!$B$9*MAX(1,ABS(N(X41))),AND(Q41="",X41="")),IF(AND(ISNUMBER(R41),ISNUMBER(Y41)),ABS(N(R41)-N(Y41))&lt;=Settings!$B$9*MAX(1,ABS(N(Y41))),AND(R41="",Y41="")),T41=Z41,IF(AND(ISNUMBER(U41),ISNUMBER(AA41)),ABS(N(U41)-N(AA41))&lt;=Settings!$B$9*MAX(1,ABS(N(AA41))),AND(U41="",AA41=""))),"ok","CHECK")</f>
        <v>ok</v>
      </c>
      <c r="AJ41" s="2"/>
      <c r="AK41" s="6" t="n">
        <f aca="false">IF(ISNUMBER(P41),1,0)</f>
        <v>1</v>
      </c>
      <c r="AL41" s="6" t="n">
        <f aca="false">COUNTIFS(Runs!$B$2:$B$61,B41,Runs!$E$2:$E$61,E41,Runs!$N$2:$N$61,N41,Runs!$AK$2:$AK$61,1)</f>
        <v>2</v>
      </c>
      <c r="AM41" s="6" t="n">
        <f aca="false">IF(AK41=1,AVERAGEIFS(Runs!$P$2:$P$61,Runs!$B$2:$B$61,B41,Runs!$E$2:$E$61,E41,Runs!$N$2:$N$61,N41,Runs!$AK$2:$AK$61,1),"")</f>
        <v>3.98812597187281</v>
      </c>
      <c r="AN41" s="6" t="n">
        <f aca="false">IF(AK41=1,IF(AL41&gt;1,(P41-AM41)^2*AL41/(AL41-1),0),0)</f>
        <v>0.150759693686552</v>
      </c>
      <c r="AO41" s="6" t="n">
        <f aca="false">IF(ISNUMBER(R41),1,0)</f>
        <v>1</v>
      </c>
      <c r="AP41" s="6" t="n">
        <f aca="false">COUNTIFS(Runs!$B$2:$B$61,B41,Runs!$E$2:$E$61,E41,Runs!$N$2:$N$61,N41,Runs!$AO$2:$AO$61,1)</f>
        <v>2</v>
      </c>
      <c r="AQ41" s="6" t="n">
        <f aca="false">IF(AO41=1,AVERAGEIFS(Runs!$R$2:$R$61,Runs!$B$2:$B$61,B41,Runs!$E$2:$E$61,E41,Runs!$N$2:$N$61,N41,Runs!$AO$2:$AO$61,1),"")</f>
        <v>89</v>
      </c>
      <c r="AR41" s="6" t="n">
        <f aca="false">IF(AO41=1,IF(AP41&gt;1,(R41-AQ41)^2*AP41/(AP41-1),0),0)</f>
        <v>18</v>
      </c>
      <c r="AS41" s="6" t="n">
        <f aca="false">IF(ISNUMBER(J41),1,0)</f>
        <v>1</v>
      </c>
      <c r="AT41" s="6" t="n">
        <f aca="false">COUNTIFS(Runs!$B$2:$B$61,B41,Runs!$E$2:$E$61,E41,Runs!$N$2:$N$61,N41,Runs!$AS$2:$AS$61,1)</f>
        <v>2</v>
      </c>
      <c r="AU41" s="6" t="n">
        <f aca="false">IF(AS41=1,AVERAGEIFS(Runs!$J$2:$J$61,Runs!$B$2:$B$61,B41,Runs!$E$2:$E$61,E41,Runs!$N$2:$N$61,N41,Runs!$AS$2:$AS$61,1),"")</f>
        <v>0.9859155</v>
      </c>
      <c r="AV41" s="6" t="n">
        <f aca="false">IF(AS41=1,IF(AT41&gt;1,(J41-AU41)^2*AT41/(AT41-1),0),0)</f>
        <v>0.000396746280499997</v>
      </c>
      <c r="AW41" s="6" t="n">
        <f aca="false">IF(ISNUMBER(Q41),1,0)</f>
        <v>1</v>
      </c>
      <c r="AX41" s="6" t="n">
        <f aca="false">COUNTIFS(Runs!$B$2:$B$61,B41,Runs!$E$2:$E$61,E41,Runs!$N$2:$N$61,N41,Runs!$AW$2:$AW$61,1)</f>
        <v>2</v>
      </c>
      <c r="AY41" s="6" t="n">
        <f aca="false">IF(AW41=1,AVERAGEIFS(Runs!$Q$2:$Q$61,Runs!$B$2:$B$61,B41,Runs!$E$2:$E$61,E41,Runs!$N$2:$N$61,N41,Runs!$AW$2:$AW$61,1),"")</f>
        <v>5.0613115412264</v>
      </c>
      <c r="AZ41" s="6" t="n">
        <f aca="false">IF(AW41=1,IF(AX41&gt;1,(Q41-AY41)^2*AX41/(AX41-1),0),0)</f>
        <v>0.00513616404639087</v>
      </c>
    </row>
    <row r="42" customFormat="false" ht="15" hidden="false" customHeight="false" outlineLevel="0" collapsed="false">
      <c r="A42" s="9" t="s">
        <v>160</v>
      </c>
      <c r="B42" s="9" t="s">
        <v>156</v>
      </c>
      <c r="C42" s="9" t="s">
        <v>105</v>
      </c>
      <c r="D42" s="9" t="s">
        <v>118</v>
      </c>
      <c r="E42" s="9" t="s">
        <v>111</v>
      </c>
      <c r="F42" s="9" t="n">
        <v>1</v>
      </c>
      <c r="G42" s="9" t="s">
        <v>161</v>
      </c>
      <c r="H42" s="9" t="n">
        <v>96</v>
      </c>
      <c r="I42" s="9" t="n">
        <v>0</v>
      </c>
      <c r="J42" s="9" t="n">
        <v>0.635417</v>
      </c>
      <c r="K42" s="9" t="n">
        <v>442</v>
      </c>
      <c r="L42" s="9" t="n">
        <v>1</v>
      </c>
      <c r="M42" s="9" t="n">
        <v>1</v>
      </c>
      <c r="N42" s="6" t="str">
        <f aca="false">C42&amp;"|"&amp;D42</f>
        <v>kanban-board|interactive</v>
      </c>
      <c r="O42" s="6" t="n">
        <f aca="false">IF(G42="finished",0,1)</f>
        <v>1</v>
      </c>
      <c r="P42" s="6" t="str">
        <f aca="false">IF(O42=0,LN(H42),"")</f>
        <v/>
      </c>
      <c r="Q42" s="6" t="n">
        <f aca="false">IF(ISNUMBER(K42),IF(K42&gt;0,LN(K42),""),"")</f>
        <v>6.0913098820777</v>
      </c>
      <c r="R42" s="6" t="n">
        <f aca="false">IF(M42=1,INDEX(Quality!$AF:$AF,MATCH(A42,Quality!$A:$A,0)),"")</f>
        <v>14</v>
      </c>
      <c r="S42" s="6" t="n">
        <f aca="false">IF(R42="","",IF(T42=1,0,R42))</f>
        <v>14</v>
      </c>
      <c r="T42" s="6" t="n">
        <f aca="false">IF(M42=1,INDEX(Quality!$AG:$AG,MATCH(A42,Quality!$A:$A,0)),0)</f>
        <v>0</v>
      </c>
      <c r="U42" s="6" t="n">
        <f aca="false">IF(M42=1,INDEX(Quality!$AS:$AS,MATCH(A42,Quality!$A:$A,0)),"")</f>
        <v>0.8</v>
      </c>
      <c r="V42" s="9" t="n">
        <v>1</v>
      </c>
      <c r="W42" s="9"/>
      <c r="X42" s="9" t="n">
        <v>6.09131</v>
      </c>
      <c r="Y42" s="9" t="n">
        <v>14</v>
      </c>
      <c r="Z42" s="9" t="n">
        <v>0</v>
      </c>
      <c r="AA42" s="9" t="n">
        <v>0.8</v>
      </c>
      <c r="AB42" s="9" t="s">
        <v>161</v>
      </c>
      <c r="AC42" s="9" t="n">
        <v>96</v>
      </c>
      <c r="AD42" s="9" t="n">
        <v>0.635416666666667</v>
      </c>
      <c r="AE42" s="9" t="n">
        <v>442</v>
      </c>
      <c r="AF42" s="9" t="n">
        <v>1</v>
      </c>
      <c r="AG42" s="9" t="n">
        <v>0</v>
      </c>
      <c r="AH42" s="6" t="str">
        <f aca="false">IF(AND(G42=AB42,IF(AND(ISNUMBER(H42),ISNUMBER(AC42)),ABS(N(H42)-N(AC42))&lt;=Settings!$B$9*MAX(1,ABS(N(AC42))),AND(H42="",AC42="")),IF(AND(ISNUMBER(J42),ISNUMBER(AD42)),ABS(N(J42)-N(AD42))&lt;=Settings!$B$9*MAX(1,ABS(N(AD42))),AND(J42="",AD42="")),IF(AND(ISNUMBER(K42),ISNUMBER(AE42)),ABS(N(K42)-N(AE42))&lt;=Settings!$B$9*MAX(1,ABS(N(AE42))),AND(K42="",AE42="")),L42=AF42,I42=AG42),"ok","CHECK")</f>
        <v>ok</v>
      </c>
      <c r="AI42" s="6" t="str">
        <f aca="false">IF(AND(IF(AND(ISNUMBER(O42),ISNUMBER(V42)),ABS(N(O42)-N(V42))&lt;=Settings!$B$9*MAX(1,ABS(N(V42))),AND(O42="",V42="")),IF(AND(ISNUMBER(P42),ISNUMBER(W42)),ABS(N(P42)-N(W42))&lt;=Settings!$B$9*MAX(1,ABS(N(W42))),AND(P42="",W42="")),IF(AND(ISNUMBER(Q42),ISNUMBER(X42)),ABS(N(Q42)-N(X42))&lt;=Settings!$B$9*MAX(1,ABS(N(X42))),AND(Q42="",X42="")),IF(AND(ISNUMBER(R42),ISNUMBER(Y42)),ABS(N(R42)-N(Y42))&lt;=Settings!$B$9*MAX(1,ABS(N(Y42))),AND(R42="",Y42="")),T42=Z42,IF(AND(ISNUMBER(U42),ISNUMBER(AA42)),ABS(N(U42)-N(AA42))&lt;=Settings!$B$9*MAX(1,ABS(N(AA42))),AND(U42="",AA42=""))),"ok","CHECK")</f>
        <v>ok</v>
      </c>
      <c r="AJ42" s="2"/>
      <c r="AK42" s="6" t="n">
        <f aca="false">IF(ISNUMBER(P42),1,0)</f>
        <v>0</v>
      </c>
      <c r="AL42" s="6" t="n">
        <f aca="false">COUNTIFS(Runs!$B$2:$B$61,B42,Runs!$E$2:$E$61,E42,Runs!$N$2:$N$61,N42,Runs!$AK$2:$AK$61,1)</f>
        <v>1</v>
      </c>
      <c r="AM42" s="6" t="str">
        <f aca="false">IF(AK42=1,AVERAGEIFS(Runs!$P$2:$P$61,Runs!$B$2:$B$61,B42,Runs!$E$2:$E$61,E42,Runs!$N$2:$N$61,N42,Runs!$AK$2:$AK$61,1),"")</f>
        <v/>
      </c>
      <c r="AN42" s="6" t="n">
        <f aca="false">IF(AK42=1,IF(AL42&gt;1,(P42-AM42)^2*AL42/(AL42-1),0),0)</f>
        <v>0</v>
      </c>
      <c r="AO42" s="6" t="n">
        <f aca="false">IF(ISNUMBER(R42),1,0)</f>
        <v>1</v>
      </c>
      <c r="AP42" s="6" t="n">
        <f aca="false">COUNTIFS(Runs!$B$2:$B$61,B42,Runs!$E$2:$E$61,E42,Runs!$N$2:$N$61,N42,Runs!$AO$2:$AO$61,1)</f>
        <v>2</v>
      </c>
      <c r="AQ42" s="6" t="n">
        <f aca="false">IF(AO42=1,AVERAGEIFS(Runs!$R$2:$R$61,Runs!$B$2:$B$61,B42,Runs!$E$2:$E$61,E42,Runs!$N$2:$N$61,N42,Runs!$AO$2:$AO$61,1),"")</f>
        <v>13</v>
      </c>
      <c r="AR42" s="6" t="n">
        <f aca="false">IF(AO42=1,IF(AP42&gt;1,(R42-AQ42)^2*AP42/(AP42-1),0),0)</f>
        <v>2</v>
      </c>
      <c r="AS42" s="6" t="n">
        <f aca="false">IF(ISNUMBER(J42),1,0)</f>
        <v>1</v>
      </c>
      <c r="AT42" s="6" t="n">
        <f aca="false">COUNTIFS(Runs!$B$2:$B$61,B42,Runs!$E$2:$E$61,E42,Runs!$N$2:$N$61,N42,Runs!$AS$2:$AS$61,1)</f>
        <v>2</v>
      </c>
      <c r="AU42" s="6" t="n">
        <f aca="false">IF(AS42=1,AVERAGEIFS(Runs!$J$2:$J$61,Runs!$B$2:$B$61,B42,Runs!$E$2:$E$61,E42,Runs!$N$2:$N$61,N42,Runs!$AS$2:$AS$61,1),"")</f>
        <v>0.6479835</v>
      </c>
      <c r="AV42" s="6" t="n">
        <f aca="false">IF(AS42=1,IF(AT42&gt;1,(J42-AU42)^2*AT42/(AT42-1),0),0)</f>
        <v>0.000315833844500002</v>
      </c>
      <c r="AW42" s="6" t="n">
        <f aca="false">IF(ISNUMBER(Q42),1,0)</f>
        <v>1</v>
      </c>
      <c r="AX42" s="6" t="n">
        <f aca="false">COUNTIFS(Runs!$B$2:$B$61,B42,Runs!$E$2:$E$61,E42,Runs!$N$2:$N$61,N42,Runs!$AW$2:$AW$61,1)</f>
        <v>2</v>
      </c>
      <c r="AY42" s="6" t="n">
        <f aca="false">IF(AW42=1,AVERAGEIFS(Runs!$Q$2:$Q$61,Runs!$B$2:$B$61,B42,Runs!$E$2:$E$61,E42,Runs!$N$2:$N$61,N42,Runs!$AW$2:$AW$61,1),"")</f>
        <v>6.09074395106086</v>
      </c>
      <c r="AZ42" s="6" t="n">
        <f aca="false">IF(AW42=1,IF(AX42&gt;1,(Q42-AY42)^2*AX42/(AX42-1),0),0)</f>
        <v>6.40555831646114E-007</v>
      </c>
    </row>
    <row r="43" customFormat="false" ht="15" hidden="false" customHeight="false" outlineLevel="0" collapsed="false">
      <c r="A43" s="9" t="s">
        <v>162</v>
      </c>
      <c r="B43" s="9" t="s">
        <v>156</v>
      </c>
      <c r="C43" s="9" t="s">
        <v>105</v>
      </c>
      <c r="D43" s="9" t="s">
        <v>118</v>
      </c>
      <c r="E43" s="9" t="s">
        <v>111</v>
      </c>
      <c r="F43" s="9" t="n">
        <v>2</v>
      </c>
      <c r="G43" s="9" t="s">
        <v>108</v>
      </c>
      <c r="H43" s="9" t="n">
        <v>109</v>
      </c>
      <c r="I43" s="9" t="n">
        <v>0</v>
      </c>
      <c r="J43" s="9" t="n">
        <v>0.66055</v>
      </c>
      <c r="K43" s="9" t="n">
        <v>441.5</v>
      </c>
      <c r="L43" s="9" t="n">
        <v>1</v>
      </c>
      <c r="M43" s="9" t="n">
        <v>1</v>
      </c>
      <c r="N43" s="6" t="str">
        <f aca="false">C43&amp;"|"&amp;D43</f>
        <v>kanban-board|interactive</v>
      </c>
      <c r="O43" s="6" t="n">
        <f aca="false">IF(G43="finished",0,1)</f>
        <v>0</v>
      </c>
      <c r="P43" s="6" t="n">
        <f aca="false">IF(O43=0,LN(H43),"")</f>
        <v>4.69134788222914</v>
      </c>
      <c r="Q43" s="6" t="n">
        <f aca="false">IF(ISNUMBER(K43),IF(K43&gt;0,LN(K43),""),"")</f>
        <v>6.09017802004401</v>
      </c>
      <c r="R43" s="6" t="n">
        <f aca="false">IF(M43=1,INDEX(Quality!$AF:$AF,MATCH(A43,Quality!$A:$A,0)),"")</f>
        <v>12</v>
      </c>
      <c r="S43" s="6" t="n">
        <f aca="false">IF(R43="","",IF(T43=1,0,R43))</f>
        <v>12</v>
      </c>
      <c r="T43" s="6" t="n">
        <f aca="false">IF(M43=1,INDEX(Quality!$AG:$AG,MATCH(A43,Quality!$A:$A,0)),0)</f>
        <v>0</v>
      </c>
      <c r="U43" s="6" t="n">
        <f aca="false">IF(M43=1,INDEX(Quality!$AS:$AS,MATCH(A43,Quality!$A:$A,0)),"")</f>
        <v>0.6</v>
      </c>
      <c r="V43" s="9" t="n">
        <v>0</v>
      </c>
      <c r="W43" s="9" t="n">
        <v>4.69135</v>
      </c>
      <c r="X43" s="9" t="n">
        <v>6.09018</v>
      </c>
      <c r="Y43" s="9" t="n">
        <v>12</v>
      </c>
      <c r="Z43" s="9" t="n">
        <v>0</v>
      </c>
      <c r="AA43" s="9" t="n">
        <v>0.6</v>
      </c>
      <c r="AB43" s="9" t="s">
        <v>108</v>
      </c>
      <c r="AC43" s="9" t="n">
        <v>109</v>
      </c>
      <c r="AD43" s="9" t="n">
        <v>0.660550458715596</v>
      </c>
      <c r="AE43" s="9" t="n">
        <v>441.5</v>
      </c>
      <c r="AF43" s="9" t="n">
        <v>1</v>
      </c>
      <c r="AG43" s="9" t="n">
        <v>0</v>
      </c>
      <c r="AH43" s="6" t="str">
        <f aca="false">IF(AND(G43=AB43,IF(AND(ISNUMBER(H43),ISNUMBER(AC43)),ABS(N(H43)-N(AC43))&lt;=Settings!$B$9*MAX(1,ABS(N(AC43))),AND(H43="",AC43="")),IF(AND(ISNUMBER(J43),ISNUMBER(AD43)),ABS(N(J43)-N(AD43))&lt;=Settings!$B$9*MAX(1,ABS(N(AD43))),AND(J43="",AD43="")),IF(AND(ISNUMBER(K43),ISNUMBER(AE43)),ABS(N(K43)-N(AE43))&lt;=Settings!$B$9*MAX(1,ABS(N(AE43))),AND(K43="",AE43="")),L43=AF43,I43=AG43),"ok","CHECK")</f>
        <v>ok</v>
      </c>
      <c r="AI43" s="6" t="str">
        <f aca="false">IF(AND(IF(AND(ISNUMBER(O43),ISNUMBER(V43)),ABS(N(O43)-N(V43))&lt;=Settings!$B$9*MAX(1,ABS(N(V43))),AND(O43="",V43="")),IF(AND(ISNUMBER(P43),ISNUMBER(W43)),ABS(N(P43)-N(W43))&lt;=Settings!$B$9*MAX(1,ABS(N(W43))),AND(P43="",W43="")),IF(AND(ISNUMBER(Q43),ISNUMBER(X43)),ABS(N(Q43)-N(X43))&lt;=Settings!$B$9*MAX(1,ABS(N(X43))),AND(Q43="",X43="")),IF(AND(ISNUMBER(R43),ISNUMBER(Y43)),ABS(N(R43)-N(Y43))&lt;=Settings!$B$9*MAX(1,ABS(N(Y43))),AND(R43="",Y43="")),T43=Z43,IF(AND(ISNUMBER(U43),ISNUMBER(AA43)),ABS(N(U43)-N(AA43))&lt;=Settings!$B$9*MAX(1,ABS(N(AA43))),AND(U43="",AA43=""))),"ok","CHECK")</f>
        <v>ok</v>
      </c>
      <c r="AJ43" s="2"/>
      <c r="AK43" s="6" t="n">
        <f aca="false">IF(ISNUMBER(P43),1,0)</f>
        <v>1</v>
      </c>
      <c r="AL43" s="6" t="n">
        <f aca="false">COUNTIFS(Runs!$B$2:$B$61,B43,Runs!$E$2:$E$61,E43,Runs!$N$2:$N$61,N43,Runs!$AK$2:$AK$61,1)</f>
        <v>1</v>
      </c>
      <c r="AM43" s="6" t="n">
        <f aca="false">IF(AK43=1,AVERAGEIFS(Runs!$P$2:$P$61,Runs!$B$2:$B$61,B43,Runs!$E$2:$E$61,E43,Runs!$N$2:$N$61,N43,Runs!$AK$2:$AK$61,1),"")</f>
        <v>4.69134788222914</v>
      </c>
      <c r="AN43" s="6" t="n">
        <f aca="false">IF(AK43=1,IF(AL43&gt;1,(P43-AM43)^2*AL43/(AL43-1),0),0)</f>
        <v>0</v>
      </c>
      <c r="AO43" s="6" t="n">
        <f aca="false">IF(ISNUMBER(R43),1,0)</f>
        <v>1</v>
      </c>
      <c r="AP43" s="6" t="n">
        <f aca="false">COUNTIFS(Runs!$B$2:$B$61,B43,Runs!$E$2:$E$61,E43,Runs!$N$2:$N$61,N43,Runs!$AO$2:$AO$61,1)</f>
        <v>2</v>
      </c>
      <c r="AQ43" s="6" t="n">
        <f aca="false">IF(AO43=1,AVERAGEIFS(Runs!$R$2:$R$61,Runs!$B$2:$B$61,B43,Runs!$E$2:$E$61,E43,Runs!$N$2:$N$61,N43,Runs!$AO$2:$AO$61,1),"")</f>
        <v>13</v>
      </c>
      <c r="AR43" s="6" t="n">
        <f aca="false">IF(AO43=1,IF(AP43&gt;1,(R43-AQ43)^2*AP43/(AP43-1),0),0)</f>
        <v>2</v>
      </c>
      <c r="AS43" s="6" t="n">
        <f aca="false">IF(ISNUMBER(J43),1,0)</f>
        <v>1</v>
      </c>
      <c r="AT43" s="6" t="n">
        <f aca="false">COUNTIFS(Runs!$B$2:$B$61,B43,Runs!$E$2:$E$61,E43,Runs!$N$2:$N$61,N43,Runs!$AS$2:$AS$61,1)</f>
        <v>2</v>
      </c>
      <c r="AU43" s="6" t="n">
        <f aca="false">IF(AS43=1,AVERAGEIFS(Runs!$J$2:$J$61,Runs!$B$2:$B$61,B43,Runs!$E$2:$E$61,E43,Runs!$N$2:$N$61,N43,Runs!$AS$2:$AS$61,1),"")</f>
        <v>0.6479835</v>
      </c>
      <c r="AV43" s="6" t="n">
        <f aca="false">IF(AS43=1,IF(AT43&gt;1,(J43-AU43)^2*AT43/(AT43-1),0),0)</f>
        <v>0.000315833844499996</v>
      </c>
      <c r="AW43" s="6" t="n">
        <f aca="false">IF(ISNUMBER(Q43),1,0)</f>
        <v>1</v>
      </c>
      <c r="AX43" s="6" t="n">
        <f aca="false">COUNTIFS(Runs!$B$2:$B$61,B43,Runs!$E$2:$E$61,E43,Runs!$N$2:$N$61,N43,Runs!$AW$2:$AW$61,1)</f>
        <v>2</v>
      </c>
      <c r="AY43" s="6" t="n">
        <f aca="false">IF(AW43=1,AVERAGEIFS(Runs!$Q$2:$Q$61,Runs!$B$2:$B$61,B43,Runs!$E$2:$E$61,E43,Runs!$N$2:$N$61,N43,Runs!$AW$2:$AW$61,1),"")</f>
        <v>6.09074395106086</v>
      </c>
      <c r="AZ43" s="6" t="n">
        <f aca="false">IF(AW43=1,IF(AX43&gt;1,(Q43-AY43)^2*AX43/(AX43-1),0),0)</f>
        <v>6.40555831648124E-007</v>
      </c>
    </row>
    <row r="44" customFormat="false" ht="15" hidden="false" customHeight="false" outlineLevel="0" collapsed="false">
      <c r="A44" s="9" t="s">
        <v>163</v>
      </c>
      <c r="B44" s="9" t="s">
        <v>156</v>
      </c>
      <c r="C44" s="9" t="s">
        <v>105</v>
      </c>
      <c r="D44" s="9" t="s">
        <v>118</v>
      </c>
      <c r="E44" s="9" t="s">
        <v>115</v>
      </c>
      <c r="F44" s="9" t="n">
        <v>1</v>
      </c>
      <c r="G44" s="9" t="s">
        <v>108</v>
      </c>
      <c r="H44" s="9" t="n">
        <v>20</v>
      </c>
      <c r="I44" s="9" t="n">
        <v>1</v>
      </c>
      <c r="J44" s="9" t="n">
        <v>1</v>
      </c>
      <c r="K44" s="9" t="n">
        <v>170</v>
      </c>
      <c r="L44" s="9" t="n">
        <v>0</v>
      </c>
      <c r="M44" s="9" t="n">
        <v>1</v>
      </c>
      <c r="N44" s="6" t="str">
        <f aca="false">C44&amp;"|"&amp;D44</f>
        <v>kanban-board|interactive</v>
      </c>
      <c r="O44" s="6" t="n">
        <f aca="false">IF(G44="finished",0,1)</f>
        <v>0</v>
      </c>
      <c r="P44" s="6" t="n">
        <f aca="false">IF(O44=0,LN(H44),"")</f>
        <v>2.99573227355399</v>
      </c>
      <c r="Q44" s="6" t="n">
        <f aca="false">IF(ISNUMBER(K44),IF(K44&gt;0,LN(K44),""),"")</f>
        <v>5.13579843705026</v>
      </c>
      <c r="R44" s="6" t="n">
        <f aca="false">IF(M44=1,INDEX(Quality!$AF:$AF,MATCH(A44,Quality!$A:$A,0)),"")</f>
        <v>96</v>
      </c>
      <c r="S44" s="6" t="n">
        <f aca="false">IF(R44="","",IF(T44=1,0,R44))</f>
        <v>96</v>
      </c>
      <c r="T44" s="6" t="n">
        <f aca="false">IF(M44=1,INDEX(Quality!$AG:$AG,MATCH(A44,Quality!$A:$A,0)),0)</f>
        <v>0</v>
      </c>
      <c r="U44" s="6" t="n">
        <f aca="false">IF(M44=1,INDEX(Quality!$AS:$AS,MATCH(A44,Quality!$A:$A,0)),"")</f>
        <v>0.7</v>
      </c>
      <c r="V44" s="9" t="n">
        <v>0</v>
      </c>
      <c r="W44" s="9" t="n">
        <v>2.99573</v>
      </c>
      <c r="X44" s="9" t="n">
        <v>5.1358</v>
      </c>
      <c r="Y44" s="9" t="n">
        <v>96</v>
      </c>
      <c r="Z44" s="9" t="n">
        <v>0</v>
      </c>
      <c r="AA44" s="9" t="n">
        <v>0.7</v>
      </c>
      <c r="AB44" s="9" t="s">
        <v>108</v>
      </c>
      <c r="AC44" s="9" t="n">
        <v>20</v>
      </c>
      <c r="AD44" s="9" t="n">
        <v>1</v>
      </c>
      <c r="AE44" s="9" t="n">
        <v>170</v>
      </c>
      <c r="AF44" s="9" t="n">
        <v>0</v>
      </c>
      <c r="AG44" s="9" t="n">
        <v>1</v>
      </c>
      <c r="AH44" s="6" t="str">
        <f aca="false">IF(AND(G44=AB44,IF(AND(ISNUMBER(H44),ISNUMBER(AC44)),ABS(N(H44)-N(AC44))&lt;=Settings!$B$9*MAX(1,ABS(N(AC44))),AND(H44="",AC44="")),IF(AND(ISNUMBER(J44),ISNUMBER(AD44)),ABS(N(J44)-N(AD44))&lt;=Settings!$B$9*MAX(1,ABS(N(AD44))),AND(J44="",AD44="")),IF(AND(ISNUMBER(K44),ISNUMBER(AE44)),ABS(N(K44)-N(AE44))&lt;=Settings!$B$9*MAX(1,ABS(N(AE44))),AND(K44="",AE44="")),L44=AF44,I44=AG44),"ok","CHECK")</f>
        <v>ok</v>
      </c>
      <c r="AI44" s="6" t="str">
        <f aca="false">IF(AND(IF(AND(ISNUMBER(O44),ISNUMBER(V44)),ABS(N(O44)-N(V44))&lt;=Settings!$B$9*MAX(1,ABS(N(V44))),AND(O44="",V44="")),IF(AND(ISNUMBER(P44),ISNUMBER(W44)),ABS(N(P44)-N(W44))&lt;=Settings!$B$9*MAX(1,ABS(N(W44))),AND(P44="",W44="")),IF(AND(ISNUMBER(Q44),ISNUMBER(X44)),ABS(N(Q44)-N(X44))&lt;=Settings!$B$9*MAX(1,ABS(N(X44))),AND(Q44="",X44="")),IF(AND(ISNUMBER(R44),ISNUMBER(Y44)),ABS(N(R44)-N(Y44))&lt;=Settings!$B$9*MAX(1,ABS(N(Y44))),AND(R44="",Y44="")),T44=Z44,IF(AND(ISNUMBER(U44),ISNUMBER(AA44)),ABS(N(U44)-N(AA44))&lt;=Settings!$B$9*MAX(1,ABS(N(AA44))),AND(U44="",AA44=""))),"ok","CHECK")</f>
        <v>ok</v>
      </c>
      <c r="AJ44" s="2"/>
      <c r="AK44" s="6" t="n">
        <f aca="false">IF(ISNUMBER(P44),1,0)</f>
        <v>1</v>
      </c>
      <c r="AL44" s="6" t="n">
        <f aca="false">COUNTIFS(Runs!$B$2:$B$61,B44,Runs!$E$2:$E$61,E44,Runs!$N$2:$N$61,N44,Runs!$AK$2:$AK$61,1)</f>
        <v>2</v>
      </c>
      <c r="AM44" s="6" t="n">
        <f aca="false">IF(AK44=1,AVERAGEIFS(Runs!$P$2:$P$61,Runs!$B$2:$B$61,B44,Runs!$E$2:$E$61,E44,Runs!$N$2:$N$61,N44,Runs!$AK$2:$AK$61,1),"")</f>
        <v>3.34230586383396</v>
      </c>
      <c r="AN44" s="6" t="n">
        <f aca="false">IF(AK44=1,IF(AL44&gt;1,(P44-AM44)^2*AL44/(AL44-1),0),0)</f>
        <v>0.240226506959101</v>
      </c>
      <c r="AO44" s="6" t="n">
        <f aca="false">IF(ISNUMBER(R44),1,0)</f>
        <v>1</v>
      </c>
      <c r="AP44" s="6" t="n">
        <f aca="false">COUNTIFS(Runs!$B$2:$B$61,B44,Runs!$E$2:$E$61,E44,Runs!$N$2:$N$61,N44,Runs!$AO$2:$AO$61,1)</f>
        <v>2</v>
      </c>
      <c r="AQ44" s="6" t="n">
        <f aca="false">IF(AO44=1,AVERAGEIFS(Runs!$R$2:$R$61,Runs!$B$2:$B$61,B44,Runs!$E$2:$E$61,E44,Runs!$N$2:$N$61,N44,Runs!$AO$2:$AO$61,1),"")</f>
        <v>89</v>
      </c>
      <c r="AR44" s="6" t="n">
        <f aca="false">IF(AO44=1,IF(AP44&gt;1,(R44-AQ44)^2*AP44/(AP44-1),0),0)</f>
        <v>98</v>
      </c>
      <c r="AS44" s="6" t="n">
        <f aca="false">IF(ISNUMBER(J44),1,0)</f>
        <v>1</v>
      </c>
      <c r="AT44" s="6" t="n">
        <f aca="false">COUNTIFS(Runs!$B$2:$B$61,B44,Runs!$E$2:$E$61,E44,Runs!$N$2:$N$61,N44,Runs!$AS$2:$AS$61,1)</f>
        <v>2</v>
      </c>
      <c r="AU44" s="6" t="n">
        <f aca="false">IF(AS44=1,AVERAGEIFS(Runs!$J$2:$J$61,Runs!$B$2:$B$61,B44,Runs!$E$2:$E$61,E44,Runs!$N$2:$N$61,N44,Runs!$AS$2:$AS$61,1),"")</f>
        <v>0.9875</v>
      </c>
      <c r="AV44" s="6" t="n">
        <f aca="false">IF(AS44=1,IF(AT44&gt;1,(J44-AU44)^2*AT44/(AT44-1),0),0)</f>
        <v>0.000312499999999998</v>
      </c>
      <c r="AW44" s="6" t="n">
        <f aca="false">IF(ISNUMBER(Q44),1,0)</f>
        <v>1</v>
      </c>
      <c r="AX44" s="6" t="n">
        <f aca="false">COUNTIFS(Runs!$B$2:$B$61,B44,Runs!$E$2:$E$61,E44,Runs!$N$2:$N$61,N44,Runs!$AW$2:$AW$61,1)</f>
        <v>2</v>
      </c>
      <c r="AY44" s="6" t="n">
        <f aca="false">IF(AW44=1,AVERAGEIFS(Runs!$Q$2:$Q$61,Runs!$B$2:$B$61,B44,Runs!$E$2:$E$61,E44,Runs!$N$2:$N$61,N44,Runs!$AW$2:$AW$61,1),"")</f>
        <v>5.08311817922135</v>
      </c>
      <c r="AZ44" s="6" t="n">
        <f aca="false">IF(AW44=1,IF(AX44&gt;1,(Q44-AY44)^2*AX44/(AX44-1),0),0)</f>
        <v>0.00555041912984158</v>
      </c>
    </row>
    <row r="45" customFormat="false" ht="15" hidden="false" customHeight="false" outlineLevel="0" collapsed="false">
      <c r="A45" s="9" t="s">
        <v>164</v>
      </c>
      <c r="B45" s="9" t="s">
        <v>156</v>
      </c>
      <c r="C45" s="9" t="s">
        <v>105</v>
      </c>
      <c r="D45" s="9" t="s">
        <v>118</v>
      </c>
      <c r="E45" s="9" t="s">
        <v>115</v>
      </c>
      <c r="F45" s="9" t="n">
        <v>2</v>
      </c>
      <c r="G45" s="9" t="s">
        <v>108</v>
      </c>
      <c r="H45" s="9" t="n">
        <v>40</v>
      </c>
      <c r="I45" s="9" t="n">
        <v>0</v>
      </c>
      <c r="J45" s="9" t="n">
        <v>0.975</v>
      </c>
      <c r="K45" s="9" t="n">
        <v>153</v>
      </c>
      <c r="L45" s="9" t="n">
        <v>0</v>
      </c>
      <c r="M45" s="9" t="n">
        <v>1</v>
      </c>
      <c r="N45" s="6" t="str">
        <f aca="false">C45&amp;"|"&amp;D45</f>
        <v>kanban-board|interactive</v>
      </c>
      <c r="O45" s="6" t="n">
        <f aca="false">IF(G45="finished",0,1)</f>
        <v>0</v>
      </c>
      <c r="P45" s="6" t="n">
        <f aca="false">IF(O45=0,LN(H45),"")</f>
        <v>3.68887945411394</v>
      </c>
      <c r="Q45" s="6" t="n">
        <f aca="false">IF(ISNUMBER(K45),IF(K45&gt;0,LN(K45),""),"")</f>
        <v>5.03043792139244</v>
      </c>
      <c r="R45" s="6" t="n">
        <f aca="false">IF(M45=1,INDEX(Quality!$AF:$AF,MATCH(A45,Quality!$A:$A,0)),"")</f>
        <v>82</v>
      </c>
      <c r="S45" s="6" t="n">
        <f aca="false">IF(R45="","",IF(T45=1,0,R45))</f>
        <v>82</v>
      </c>
      <c r="T45" s="6" t="n">
        <f aca="false">IF(M45=1,INDEX(Quality!$AG:$AG,MATCH(A45,Quality!$A:$A,0)),0)</f>
        <v>0</v>
      </c>
      <c r="U45" s="6" t="n">
        <f aca="false">IF(M45=1,INDEX(Quality!$AS:$AS,MATCH(A45,Quality!$A:$A,0)),"")</f>
        <v>0.7</v>
      </c>
      <c r="V45" s="9" t="n">
        <v>0</v>
      </c>
      <c r="W45" s="9" t="n">
        <v>3.68888</v>
      </c>
      <c r="X45" s="9" t="n">
        <v>5.03044</v>
      </c>
      <c r="Y45" s="9" t="n">
        <v>82</v>
      </c>
      <c r="Z45" s="9" t="n">
        <v>0</v>
      </c>
      <c r="AA45" s="9" t="n">
        <v>0.7</v>
      </c>
      <c r="AB45" s="9" t="s">
        <v>108</v>
      </c>
      <c r="AC45" s="9" t="n">
        <v>40</v>
      </c>
      <c r="AD45" s="9" t="n">
        <v>0.975</v>
      </c>
      <c r="AE45" s="9" t="n">
        <v>153</v>
      </c>
      <c r="AF45" s="9" t="n">
        <v>0</v>
      </c>
      <c r="AG45" s="9" t="n">
        <v>0</v>
      </c>
      <c r="AH45" s="6" t="str">
        <f aca="false">IF(AND(G45=AB45,IF(AND(ISNUMBER(H45),ISNUMBER(AC45)),ABS(N(H45)-N(AC45))&lt;=Settings!$B$9*MAX(1,ABS(N(AC45))),AND(H45="",AC45="")),IF(AND(ISNUMBER(J45),ISNUMBER(AD45)),ABS(N(J45)-N(AD45))&lt;=Settings!$B$9*MAX(1,ABS(N(AD45))),AND(J45="",AD45="")),IF(AND(ISNUMBER(K45),ISNUMBER(AE45)),ABS(N(K45)-N(AE45))&lt;=Settings!$B$9*MAX(1,ABS(N(AE45))),AND(K45="",AE45="")),L45=AF45,I45=AG45),"ok","CHECK")</f>
        <v>ok</v>
      </c>
      <c r="AI45" s="6" t="str">
        <f aca="false">IF(AND(IF(AND(ISNUMBER(O45),ISNUMBER(V45)),ABS(N(O45)-N(V45))&lt;=Settings!$B$9*MAX(1,ABS(N(V45))),AND(O45="",V45="")),IF(AND(ISNUMBER(P45),ISNUMBER(W45)),ABS(N(P45)-N(W45))&lt;=Settings!$B$9*MAX(1,ABS(N(W45))),AND(P45="",W45="")),IF(AND(ISNUMBER(Q45),ISNUMBER(X45)),ABS(N(Q45)-N(X45))&lt;=Settings!$B$9*MAX(1,ABS(N(X45))),AND(Q45="",X45="")),IF(AND(ISNUMBER(R45),ISNUMBER(Y45)),ABS(N(R45)-N(Y45))&lt;=Settings!$B$9*MAX(1,ABS(N(Y45))),AND(R45="",Y45="")),T45=Z45,IF(AND(ISNUMBER(U45),ISNUMBER(AA45)),ABS(N(U45)-N(AA45))&lt;=Settings!$B$9*MAX(1,ABS(N(AA45))),AND(U45="",AA45=""))),"ok","CHECK")</f>
        <v>ok</v>
      </c>
      <c r="AJ45" s="2"/>
      <c r="AK45" s="6" t="n">
        <f aca="false">IF(ISNUMBER(P45),1,0)</f>
        <v>1</v>
      </c>
      <c r="AL45" s="6" t="n">
        <f aca="false">COUNTIFS(Runs!$B$2:$B$61,B45,Runs!$E$2:$E$61,E45,Runs!$N$2:$N$61,N45,Runs!$AK$2:$AK$61,1)</f>
        <v>2</v>
      </c>
      <c r="AM45" s="6" t="n">
        <f aca="false">IF(AK45=1,AVERAGEIFS(Runs!$P$2:$P$61,Runs!$B$2:$B$61,B45,Runs!$E$2:$E$61,E45,Runs!$N$2:$N$61,N45,Runs!$AK$2:$AK$61,1),"")</f>
        <v>3.34230586383396</v>
      </c>
      <c r="AN45" s="6" t="n">
        <f aca="false">IF(AK45=1,IF(AL45&gt;1,(P45-AM45)^2*AL45/(AL45-1),0),0)</f>
        <v>0.240226506959101</v>
      </c>
      <c r="AO45" s="6" t="n">
        <f aca="false">IF(ISNUMBER(R45),1,0)</f>
        <v>1</v>
      </c>
      <c r="AP45" s="6" t="n">
        <f aca="false">COUNTIFS(Runs!$B$2:$B$61,B45,Runs!$E$2:$E$61,E45,Runs!$N$2:$N$61,N45,Runs!$AO$2:$AO$61,1)</f>
        <v>2</v>
      </c>
      <c r="AQ45" s="6" t="n">
        <f aca="false">IF(AO45=1,AVERAGEIFS(Runs!$R$2:$R$61,Runs!$B$2:$B$61,B45,Runs!$E$2:$E$61,E45,Runs!$N$2:$N$61,N45,Runs!$AO$2:$AO$61,1),"")</f>
        <v>89</v>
      </c>
      <c r="AR45" s="6" t="n">
        <f aca="false">IF(AO45=1,IF(AP45&gt;1,(R45-AQ45)^2*AP45/(AP45-1),0),0)</f>
        <v>98</v>
      </c>
      <c r="AS45" s="6" t="n">
        <f aca="false">IF(ISNUMBER(J45),1,0)</f>
        <v>1</v>
      </c>
      <c r="AT45" s="6" t="n">
        <f aca="false">COUNTIFS(Runs!$B$2:$B$61,B45,Runs!$E$2:$E$61,E45,Runs!$N$2:$N$61,N45,Runs!$AS$2:$AS$61,1)</f>
        <v>2</v>
      </c>
      <c r="AU45" s="6" t="n">
        <f aca="false">IF(AS45=1,AVERAGEIFS(Runs!$J$2:$J$61,Runs!$B$2:$B$61,B45,Runs!$E$2:$E$61,E45,Runs!$N$2:$N$61,N45,Runs!$AS$2:$AS$61,1),"")</f>
        <v>0.9875</v>
      </c>
      <c r="AV45" s="6" t="n">
        <f aca="false">IF(AS45=1,IF(AT45&gt;1,(J45-AU45)^2*AT45/(AT45-1),0),0)</f>
        <v>0.000312500000000003</v>
      </c>
      <c r="AW45" s="6" t="n">
        <f aca="false">IF(ISNUMBER(Q45),1,0)</f>
        <v>1</v>
      </c>
      <c r="AX45" s="6" t="n">
        <f aca="false">COUNTIFS(Runs!$B$2:$B$61,B45,Runs!$E$2:$E$61,E45,Runs!$N$2:$N$61,N45,Runs!$AW$2:$AW$61,1)</f>
        <v>2</v>
      </c>
      <c r="AY45" s="6" t="n">
        <f aca="false">IF(AW45=1,AVERAGEIFS(Runs!$Q$2:$Q$61,Runs!$B$2:$B$61,B45,Runs!$E$2:$E$61,E45,Runs!$N$2:$N$61,N45,Runs!$AW$2:$AW$61,1),"")</f>
        <v>5.08311817922135</v>
      </c>
      <c r="AZ45" s="6" t="n">
        <f aca="false">IF(AW45=1,IF(AX45&gt;1,(Q45-AY45)^2*AX45/(AX45-1),0),0)</f>
        <v>0.00555041912984158</v>
      </c>
    </row>
    <row r="46" customFormat="false" ht="15" hidden="false" customHeight="false" outlineLevel="0" collapsed="false">
      <c r="A46" s="9" t="s">
        <v>165</v>
      </c>
      <c r="B46" s="9" t="s">
        <v>156</v>
      </c>
      <c r="C46" s="9" t="s">
        <v>105</v>
      </c>
      <c r="D46" s="9" t="s">
        <v>126</v>
      </c>
      <c r="E46" s="9" t="s">
        <v>111</v>
      </c>
      <c r="F46" s="9" t="n">
        <v>1</v>
      </c>
      <c r="G46" s="9" t="s">
        <v>108</v>
      </c>
      <c r="H46" s="9" t="n">
        <v>80</v>
      </c>
      <c r="I46" s="9" t="n">
        <v>0</v>
      </c>
      <c r="J46" s="9" t="n">
        <v>0.7125</v>
      </c>
      <c r="K46" s="9" t="n">
        <v>361</v>
      </c>
      <c r="L46" s="9" t="n">
        <v>0</v>
      </c>
      <c r="M46" s="9" t="n">
        <v>1</v>
      </c>
      <c r="N46" s="6" t="str">
        <f aca="false">C46&amp;"|"&amp;D46</f>
        <v>kanban-board|no_verification</v>
      </c>
      <c r="O46" s="6" t="n">
        <f aca="false">IF(G46="finished",0,1)</f>
        <v>0</v>
      </c>
      <c r="P46" s="6" t="n">
        <f aca="false">IF(O46=0,LN(H46),"")</f>
        <v>4.38202663467388</v>
      </c>
      <c r="Q46" s="6" t="n">
        <f aca="false">IF(ISNUMBER(K46),IF(K46&gt;0,LN(K46),""),"")</f>
        <v>5.88887795833288</v>
      </c>
      <c r="R46" s="6" t="n">
        <f aca="false">IF(M46=1,INDEX(Quality!$AF:$AF,MATCH(A46,Quality!$A:$A,0)),"")</f>
        <v>8</v>
      </c>
      <c r="S46" s="6" t="n">
        <f aca="false">IF(R46="","",IF(T46=1,0,R46))</f>
        <v>8</v>
      </c>
      <c r="T46" s="6" t="n">
        <f aca="false">IF(M46=1,INDEX(Quality!$AG:$AG,MATCH(A46,Quality!$A:$A,0)),0)</f>
        <v>0</v>
      </c>
      <c r="U46" s="6" t="n">
        <f aca="false">IF(M46=1,INDEX(Quality!$AS:$AS,MATCH(A46,Quality!$A:$A,0)),"")</f>
        <v>0.8</v>
      </c>
      <c r="V46" s="9" t="n">
        <v>0</v>
      </c>
      <c r="W46" s="9" t="n">
        <v>4.38203</v>
      </c>
      <c r="X46" s="9" t="n">
        <v>5.88888</v>
      </c>
      <c r="Y46" s="9" t="n">
        <v>8</v>
      </c>
      <c r="Z46" s="9" t="n">
        <v>0</v>
      </c>
      <c r="AA46" s="9" t="n">
        <v>0.8</v>
      </c>
      <c r="AB46" s="9" t="s">
        <v>108</v>
      </c>
      <c r="AC46" s="9" t="n">
        <v>80</v>
      </c>
      <c r="AD46" s="9" t="n">
        <v>0.7125</v>
      </c>
      <c r="AE46" s="9" t="n">
        <v>361</v>
      </c>
      <c r="AF46" s="9" t="n">
        <v>0</v>
      </c>
      <c r="AG46" s="9" t="n">
        <v>0</v>
      </c>
      <c r="AH46" s="6" t="str">
        <f aca="false">IF(AND(G46=AB46,IF(AND(ISNUMBER(H46),ISNUMBER(AC46)),ABS(N(H46)-N(AC46))&lt;=Settings!$B$9*MAX(1,ABS(N(AC46))),AND(H46="",AC46="")),IF(AND(ISNUMBER(J46),ISNUMBER(AD46)),ABS(N(J46)-N(AD46))&lt;=Settings!$B$9*MAX(1,ABS(N(AD46))),AND(J46="",AD46="")),IF(AND(ISNUMBER(K46),ISNUMBER(AE46)),ABS(N(K46)-N(AE46))&lt;=Settings!$B$9*MAX(1,ABS(N(AE46))),AND(K46="",AE46="")),L46=AF46,I46=AG46),"ok","CHECK")</f>
        <v>ok</v>
      </c>
      <c r="AI46" s="6" t="str">
        <f aca="false">IF(AND(IF(AND(ISNUMBER(O46),ISNUMBER(V46)),ABS(N(O46)-N(V46))&lt;=Settings!$B$9*MAX(1,ABS(N(V46))),AND(O46="",V46="")),IF(AND(ISNUMBER(P46),ISNUMBER(W46)),ABS(N(P46)-N(W46))&lt;=Settings!$B$9*MAX(1,ABS(N(W46))),AND(P46="",W46="")),IF(AND(ISNUMBER(Q46),ISNUMBER(X46)),ABS(N(Q46)-N(X46))&lt;=Settings!$B$9*MAX(1,ABS(N(X46))),AND(Q46="",X46="")),IF(AND(ISNUMBER(R46),ISNUMBER(Y46)),ABS(N(R46)-N(Y46))&lt;=Settings!$B$9*MAX(1,ABS(N(Y46))),AND(R46="",Y46="")),T46=Z46,IF(AND(ISNUMBER(U46),ISNUMBER(AA46)),ABS(N(U46)-N(AA46))&lt;=Settings!$B$9*MAX(1,ABS(N(AA46))),AND(U46="",AA46=""))),"ok","CHECK")</f>
        <v>ok</v>
      </c>
      <c r="AJ46" s="2"/>
      <c r="AK46" s="6" t="n">
        <f aca="false">IF(ISNUMBER(P46),1,0)</f>
        <v>1</v>
      </c>
      <c r="AL46" s="6" t="n">
        <f aca="false">COUNTIFS(Runs!$B$2:$B$61,B46,Runs!$E$2:$E$61,E46,Runs!$N$2:$N$61,N46,Runs!$AK$2:$AK$61,1)</f>
        <v>2</v>
      </c>
      <c r="AM46" s="6" t="n">
        <f aca="false">IF(AK46=1,AVERAGEIFS(Runs!$P$2:$P$61,Runs!$B$2:$B$61,B46,Runs!$E$2:$E$61,E46,Runs!$N$2:$N$61,N46,Runs!$AK$2:$AK$61,1),"")</f>
        <v>4.22123482261015</v>
      </c>
      <c r="AN46" s="6" t="n">
        <f aca="false">IF(AK46=1,IF(AL46&gt;1,(P46-AM46)^2*AL46/(AL46-1),0),0)</f>
        <v>0.0517080136534767</v>
      </c>
      <c r="AO46" s="6" t="n">
        <f aca="false">IF(ISNUMBER(R46),1,0)</f>
        <v>1</v>
      </c>
      <c r="AP46" s="6" t="n">
        <f aca="false">COUNTIFS(Runs!$B$2:$B$61,B46,Runs!$E$2:$E$61,E46,Runs!$N$2:$N$61,N46,Runs!$AO$2:$AO$61,1)</f>
        <v>2</v>
      </c>
      <c r="AQ46" s="6" t="n">
        <f aca="false">IF(AO46=1,AVERAGEIFS(Runs!$R$2:$R$61,Runs!$B$2:$B$61,B46,Runs!$E$2:$E$61,E46,Runs!$N$2:$N$61,N46,Runs!$AO$2:$AO$61,1),"")</f>
        <v>9</v>
      </c>
      <c r="AR46" s="6" t="n">
        <f aca="false">IF(AO46=1,IF(AP46&gt;1,(R46-AQ46)^2*AP46/(AP46-1),0),0)</f>
        <v>2</v>
      </c>
      <c r="AS46" s="6" t="n">
        <f aca="false">IF(ISNUMBER(J46),1,0)</f>
        <v>1</v>
      </c>
      <c r="AT46" s="6" t="n">
        <f aca="false">COUNTIFS(Runs!$B$2:$B$61,B46,Runs!$E$2:$E$61,E46,Runs!$N$2:$N$61,N46,Runs!$AS$2:$AS$61,1)</f>
        <v>2</v>
      </c>
      <c r="AU46" s="6" t="n">
        <f aca="false">IF(AS46=1,AVERAGEIFS(Runs!$J$2:$J$61,Runs!$B$2:$B$61,B46,Runs!$E$2:$E$61,E46,Runs!$N$2:$N$61,N46,Runs!$AS$2:$AS$61,1),"")</f>
        <v>0.7528015</v>
      </c>
      <c r="AV46" s="6" t="n">
        <f aca="false">IF(AS46=1,IF(AT46&gt;1,(J46-AU46)^2*AT46/(AT46-1),0),0)</f>
        <v>0.0032484218045</v>
      </c>
      <c r="AW46" s="6" t="n">
        <f aca="false">IF(ISNUMBER(Q46),1,0)</f>
        <v>1</v>
      </c>
      <c r="AX46" s="6" t="n">
        <f aca="false">COUNTIFS(Runs!$B$2:$B$61,B46,Runs!$E$2:$E$61,E46,Runs!$N$2:$N$61,N46,Runs!$AW$2:$AW$61,1)</f>
        <v>2</v>
      </c>
      <c r="AY46" s="6" t="n">
        <f aca="false">IF(AW46=1,AVERAGEIFS(Runs!$Q$2:$Q$61,Runs!$B$2:$B$61,B46,Runs!$E$2:$E$61,E46,Runs!$N$2:$N$61,N46,Runs!$AW$2:$AW$61,1),"")</f>
        <v>6.02924434541217</v>
      </c>
      <c r="AZ46" s="6" t="n">
        <f aca="false">IF(AW46=1,IF(AX46&gt;1,(Q46-AY46)^2*AX46/(AX46-1),0),0)</f>
        <v>0.039405445243385</v>
      </c>
    </row>
    <row r="47" customFormat="false" ht="15" hidden="false" customHeight="false" outlineLevel="0" collapsed="false">
      <c r="A47" s="9" t="s">
        <v>166</v>
      </c>
      <c r="B47" s="9" t="s">
        <v>156</v>
      </c>
      <c r="C47" s="9" t="s">
        <v>105</v>
      </c>
      <c r="D47" s="9" t="s">
        <v>126</v>
      </c>
      <c r="E47" s="9" t="s">
        <v>111</v>
      </c>
      <c r="F47" s="9" t="n">
        <v>2</v>
      </c>
      <c r="G47" s="9" t="s">
        <v>108</v>
      </c>
      <c r="H47" s="9" t="n">
        <v>58</v>
      </c>
      <c r="I47" s="9" t="n">
        <v>0</v>
      </c>
      <c r="J47" s="9" t="n">
        <v>0.793103</v>
      </c>
      <c r="K47" s="9" t="n">
        <v>478</v>
      </c>
      <c r="L47" s="9" t="n">
        <v>1</v>
      </c>
      <c r="M47" s="9" t="n">
        <v>1</v>
      </c>
      <c r="N47" s="6" t="str">
        <f aca="false">C47&amp;"|"&amp;D47</f>
        <v>kanban-board|no_verification</v>
      </c>
      <c r="O47" s="6" t="n">
        <f aca="false">IF(G47="finished",0,1)</f>
        <v>0</v>
      </c>
      <c r="P47" s="6" t="n">
        <f aca="false">IF(O47=0,LN(H47),"")</f>
        <v>4.06044301054642</v>
      </c>
      <c r="Q47" s="6" t="n">
        <f aca="false">IF(ISNUMBER(K47),IF(K47&gt;0,LN(K47),""),"")</f>
        <v>6.16961073249146</v>
      </c>
      <c r="R47" s="6" t="n">
        <f aca="false">IF(M47=1,INDEX(Quality!$AF:$AF,MATCH(A47,Quality!$A:$A,0)),"")</f>
        <v>10</v>
      </c>
      <c r="S47" s="6" t="n">
        <f aca="false">IF(R47="","",IF(T47=1,0,R47))</f>
        <v>10</v>
      </c>
      <c r="T47" s="6" t="n">
        <f aca="false">IF(M47=1,INDEX(Quality!$AG:$AG,MATCH(A47,Quality!$A:$A,0)),0)</f>
        <v>0</v>
      </c>
      <c r="U47" s="6" t="n">
        <f aca="false">IF(M47=1,INDEX(Quality!$AS:$AS,MATCH(A47,Quality!$A:$A,0)),"")</f>
        <v>0.5</v>
      </c>
      <c r="V47" s="9" t="n">
        <v>0</v>
      </c>
      <c r="W47" s="9" t="n">
        <v>4.06044</v>
      </c>
      <c r="X47" s="9" t="n">
        <v>6.16961</v>
      </c>
      <c r="Y47" s="9" t="n">
        <v>10</v>
      </c>
      <c r="Z47" s="9" t="n">
        <v>0</v>
      </c>
      <c r="AA47" s="9" t="n">
        <v>0.5</v>
      </c>
      <c r="AB47" s="9" t="s">
        <v>108</v>
      </c>
      <c r="AC47" s="9" t="n">
        <v>58</v>
      </c>
      <c r="AD47" s="9" t="n">
        <v>0.793103448275862</v>
      </c>
      <c r="AE47" s="9" t="n">
        <v>478</v>
      </c>
      <c r="AF47" s="9" t="n">
        <v>1</v>
      </c>
      <c r="AG47" s="9" t="n">
        <v>0</v>
      </c>
      <c r="AH47" s="6" t="str">
        <f aca="false">IF(AND(G47=AB47,IF(AND(ISNUMBER(H47),ISNUMBER(AC47)),ABS(N(H47)-N(AC47))&lt;=Settings!$B$9*MAX(1,ABS(N(AC47))),AND(H47="",AC47="")),IF(AND(ISNUMBER(J47),ISNUMBER(AD47)),ABS(N(J47)-N(AD47))&lt;=Settings!$B$9*MAX(1,ABS(N(AD47))),AND(J47="",AD47="")),IF(AND(ISNUMBER(K47),ISNUMBER(AE47)),ABS(N(K47)-N(AE47))&lt;=Settings!$B$9*MAX(1,ABS(N(AE47))),AND(K47="",AE47="")),L47=AF47,I47=AG47),"ok","CHECK")</f>
        <v>ok</v>
      </c>
      <c r="AI47" s="6" t="str">
        <f aca="false">IF(AND(IF(AND(ISNUMBER(O47),ISNUMBER(V47)),ABS(N(O47)-N(V47))&lt;=Settings!$B$9*MAX(1,ABS(N(V47))),AND(O47="",V47="")),IF(AND(ISNUMBER(P47),ISNUMBER(W47)),ABS(N(P47)-N(W47))&lt;=Settings!$B$9*MAX(1,ABS(N(W47))),AND(P47="",W47="")),IF(AND(ISNUMBER(Q47),ISNUMBER(X47)),ABS(N(Q47)-N(X47))&lt;=Settings!$B$9*MAX(1,ABS(N(X47))),AND(Q47="",X47="")),IF(AND(ISNUMBER(R47),ISNUMBER(Y47)),ABS(N(R47)-N(Y47))&lt;=Settings!$B$9*MAX(1,ABS(N(Y47))),AND(R47="",Y47="")),T47=Z47,IF(AND(ISNUMBER(U47),ISNUMBER(AA47)),ABS(N(U47)-N(AA47))&lt;=Settings!$B$9*MAX(1,ABS(N(AA47))),AND(U47="",AA47=""))),"ok","CHECK")</f>
        <v>ok</v>
      </c>
      <c r="AJ47" s="2"/>
      <c r="AK47" s="6" t="n">
        <f aca="false">IF(ISNUMBER(P47),1,0)</f>
        <v>1</v>
      </c>
      <c r="AL47" s="6" t="n">
        <f aca="false">COUNTIFS(Runs!$B$2:$B$61,B47,Runs!$E$2:$E$61,E47,Runs!$N$2:$N$61,N47,Runs!$AK$2:$AK$61,1)</f>
        <v>2</v>
      </c>
      <c r="AM47" s="6" t="n">
        <f aca="false">IF(AK47=1,AVERAGEIFS(Runs!$P$2:$P$61,Runs!$B$2:$B$61,B47,Runs!$E$2:$E$61,E47,Runs!$N$2:$N$61,N47,Runs!$AK$2:$AK$61,1),"")</f>
        <v>4.22123482261015</v>
      </c>
      <c r="AN47" s="6" t="n">
        <f aca="false">IF(AK47=1,IF(AL47&gt;1,(P47-AM47)^2*AL47/(AL47-1),0),0)</f>
        <v>0.0517080136534761</v>
      </c>
      <c r="AO47" s="6" t="n">
        <f aca="false">IF(ISNUMBER(R47),1,0)</f>
        <v>1</v>
      </c>
      <c r="AP47" s="6" t="n">
        <f aca="false">COUNTIFS(Runs!$B$2:$B$61,B47,Runs!$E$2:$E$61,E47,Runs!$N$2:$N$61,N47,Runs!$AO$2:$AO$61,1)</f>
        <v>2</v>
      </c>
      <c r="AQ47" s="6" t="n">
        <f aca="false">IF(AO47=1,AVERAGEIFS(Runs!$R$2:$R$61,Runs!$B$2:$B$61,B47,Runs!$E$2:$E$61,E47,Runs!$N$2:$N$61,N47,Runs!$AO$2:$AO$61,1),"")</f>
        <v>9</v>
      </c>
      <c r="AR47" s="6" t="n">
        <f aca="false">IF(AO47=1,IF(AP47&gt;1,(R47-AQ47)^2*AP47/(AP47-1),0),0)</f>
        <v>2</v>
      </c>
      <c r="AS47" s="6" t="n">
        <f aca="false">IF(ISNUMBER(J47),1,0)</f>
        <v>1</v>
      </c>
      <c r="AT47" s="6" t="n">
        <f aca="false">COUNTIFS(Runs!$B$2:$B$61,B47,Runs!$E$2:$E$61,E47,Runs!$N$2:$N$61,N47,Runs!$AS$2:$AS$61,1)</f>
        <v>2</v>
      </c>
      <c r="AU47" s="6" t="n">
        <f aca="false">IF(AS47=1,AVERAGEIFS(Runs!$J$2:$J$61,Runs!$B$2:$B$61,B47,Runs!$E$2:$E$61,E47,Runs!$N$2:$N$61,N47,Runs!$AS$2:$AS$61,1),"")</f>
        <v>0.7528015</v>
      </c>
      <c r="AV47" s="6" t="n">
        <f aca="false">IF(AS47=1,IF(AT47&gt;1,(J47-AU47)^2*AT47/(AT47-1),0),0)</f>
        <v>0.0032484218045</v>
      </c>
      <c r="AW47" s="6" t="n">
        <f aca="false">IF(ISNUMBER(Q47),1,0)</f>
        <v>1</v>
      </c>
      <c r="AX47" s="6" t="n">
        <f aca="false">COUNTIFS(Runs!$B$2:$B$61,B47,Runs!$E$2:$E$61,E47,Runs!$N$2:$N$61,N47,Runs!$AW$2:$AW$61,1)</f>
        <v>2</v>
      </c>
      <c r="AY47" s="6" t="n">
        <f aca="false">IF(AW47=1,AVERAGEIFS(Runs!$Q$2:$Q$61,Runs!$B$2:$B$61,B47,Runs!$E$2:$E$61,E47,Runs!$N$2:$N$61,N47,Runs!$AW$2:$AW$61,1),"")</f>
        <v>6.02924434541217</v>
      </c>
      <c r="AZ47" s="6" t="n">
        <f aca="false">IF(AW47=1,IF(AX47&gt;1,(Q47-AY47)^2*AX47/(AX47-1),0),0)</f>
        <v>0.039405445243385</v>
      </c>
    </row>
    <row r="48" customFormat="false" ht="15" hidden="false" customHeight="false" outlineLevel="0" collapsed="false">
      <c r="A48" s="9" t="s">
        <v>167</v>
      </c>
      <c r="B48" s="9" t="s">
        <v>156</v>
      </c>
      <c r="C48" s="9" t="s">
        <v>105</v>
      </c>
      <c r="D48" s="9" t="s">
        <v>126</v>
      </c>
      <c r="E48" s="9" t="s">
        <v>115</v>
      </c>
      <c r="F48" s="9" t="n">
        <v>1</v>
      </c>
      <c r="G48" s="9" t="s">
        <v>108</v>
      </c>
      <c r="H48" s="9" t="n">
        <v>29</v>
      </c>
      <c r="I48" s="9" t="n">
        <v>0</v>
      </c>
      <c r="J48" s="9" t="n">
        <v>1</v>
      </c>
      <c r="K48" s="9" t="n">
        <v>168</v>
      </c>
      <c r="L48" s="9" t="n">
        <v>0</v>
      </c>
      <c r="M48" s="9" t="n">
        <v>1</v>
      </c>
      <c r="N48" s="6" t="str">
        <f aca="false">C48&amp;"|"&amp;D48</f>
        <v>kanban-board|no_verification</v>
      </c>
      <c r="O48" s="6" t="n">
        <f aca="false">IF(G48="finished",0,1)</f>
        <v>0</v>
      </c>
      <c r="P48" s="6" t="n">
        <f aca="false">IF(O48=0,LN(H48),"")</f>
        <v>3.36729582998647</v>
      </c>
      <c r="Q48" s="6" t="n">
        <f aca="false">IF(ISNUMBER(K48),IF(K48&gt;0,LN(K48),""),"")</f>
        <v>5.12396397940326</v>
      </c>
      <c r="R48" s="6" t="n">
        <f aca="false">IF(M48=1,INDEX(Quality!$AF:$AF,MATCH(A48,Quality!$A:$A,0)),"")</f>
        <v>94</v>
      </c>
      <c r="S48" s="6" t="n">
        <f aca="false">IF(R48="","",IF(T48=1,0,R48))</f>
        <v>94</v>
      </c>
      <c r="T48" s="6" t="n">
        <f aca="false">IF(M48=1,INDEX(Quality!$AG:$AG,MATCH(A48,Quality!$A:$A,0)),0)</f>
        <v>0</v>
      </c>
      <c r="U48" s="6" t="n">
        <f aca="false">IF(M48=1,INDEX(Quality!$AS:$AS,MATCH(A48,Quality!$A:$A,0)),"")</f>
        <v>0.7</v>
      </c>
      <c r="V48" s="9" t="n">
        <v>0</v>
      </c>
      <c r="W48" s="9" t="n">
        <v>3.3673</v>
      </c>
      <c r="X48" s="9" t="n">
        <v>5.12396</v>
      </c>
      <c r="Y48" s="9" t="n">
        <v>94</v>
      </c>
      <c r="Z48" s="9" t="n">
        <v>0</v>
      </c>
      <c r="AA48" s="9" t="n">
        <v>0.7</v>
      </c>
      <c r="AB48" s="9" t="s">
        <v>108</v>
      </c>
      <c r="AC48" s="9" t="n">
        <v>29</v>
      </c>
      <c r="AD48" s="9" t="n">
        <v>1</v>
      </c>
      <c r="AE48" s="9" t="n">
        <v>168</v>
      </c>
      <c r="AF48" s="9" t="n">
        <v>0</v>
      </c>
      <c r="AG48" s="9" t="n">
        <v>0</v>
      </c>
      <c r="AH48" s="6" t="str">
        <f aca="false">IF(AND(G48=AB48,IF(AND(ISNUMBER(H48),ISNUMBER(AC48)),ABS(N(H48)-N(AC48))&lt;=Settings!$B$9*MAX(1,ABS(N(AC48))),AND(H48="",AC48="")),IF(AND(ISNUMBER(J48),ISNUMBER(AD48)),ABS(N(J48)-N(AD48))&lt;=Settings!$B$9*MAX(1,ABS(N(AD48))),AND(J48="",AD48="")),IF(AND(ISNUMBER(K48),ISNUMBER(AE48)),ABS(N(K48)-N(AE48))&lt;=Settings!$B$9*MAX(1,ABS(N(AE48))),AND(K48="",AE48="")),L48=AF48,I48=AG48),"ok","CHECK")</f>
        <v>ok</v>
      </c>
      <c r="AI48" s="6" t="str">
        <f aca="false">IF(AND(IF(AND(ISNUMBER(O48),ISNUMBER(V48)),ABS(N(O48)-N(V48))&lt;=Settings!$B$9*MAX(1,ABS(N(V48))),AND(O48="",V48="")),IF(AND(ISNUMBER(P48),ISNUMBER(W48)),ABS(N(P48)-N(W48))&lt;=Settings!$B$9*MAX(1,ABS(N(W48))),AND(P48="",W48="")),IF(AND(ISNUMBER(Q48),ISNUMBER(X48)),ABS(N(Q48)-N(X48))&lt;=Settings!$B$9*MAX(1,ABS(N(X48))),AND(Q48="",X48="")),IF(AND(ISNUMBER(R48),ISNUMBER(Y48)),ABS(N(R48)-N(Y48))&lt;=Settings!$B$9*MAX(1,ABS(N(Y48))),AND(R48="",Y48="")),T48=Z48,IF(AND(ISNUMBER(U48),ISNUMBER(AA48)),ABS(N(U48)-N(AA48))&lt;=Settings!$B$9*MAX(1,ABS(N(AA48))),AND(U48="",AA48=""))),"ok","CHECK")</f>
        <v>ok</v>
      </c>
      <c r="AJ48" s="2"/>
      <c r="AK48" s="6" t="n">
        <f aca="false">IF(ISNUMBER(P48),1,0)</f>
        <v>1</v>
      </c>
      <c r="AL48" s="6" t="n">
        <f aca="false">COUNTIFS(Runs!$B$2:$B$61,B48,Runs!$E$2:$E$61,E48,Runs!$N$2:$N$61,N48,Runs!$AK$2:$AK$61,1)</f>
        <v>2</v>
      </c>
      <c r="AM48" s="6" t="n">
        <f aca="false">IF(AK48=1,AVERAGEIFS(Runs!$P$2:$P$61,Runs!$B$2:$B$61,B48,Runs!$E$2:$E$61,E48,Runs!$N$2:$N$61,N48,Runs!$AK$2:$AK$61,1),"")</f>
        <v>3.67813993827537</v>
      </c>
      <c r="AN48" s="6" t="n">
        <f aca="false">IF(AK48=1,IF(AL48&gt;1,(P48-AM48)^2*AL48/(AL48-1),0),0)</f>
        <v>0.193248119315843</v>
      </c>
      <c r="AO48" s="6" t="n">
        <f aca="false">IF(ISNUMBER(R48),1,0)</f>
        <v>1</v>
      </c>
      <c r="AP48" s="6" t="n">
        <f aca="false">COUNTIFS(Runs!$B$2:$B$61,B48,Runs!$E$2:$E$61,E48,Runs!$N$2:$N$61,N48,Runs!$AO$2:$AO$61,1)</f>
        <v>2</v>
      </c>
      <c r="AQ48" s="6" t="n">
        <f aca="false">IF(AO48=1,AVERAGEIFS(Runs!$R$2:$R$61,Runs!$B$2:$B$61,B48,Runs!$E$2:$E$61,E48,Runs!$N$2:$N$61,N48,Runs!$AO$2:$AO$61,1),"")</f>
        <v>93</v>
      </c>
      <c r="AR48" s="6" t="n">
        <f aca="false">IF(AO48=1,IF(AP48&gt;1,(R48-AQ48)^2*AP48/(AP48-1),0),0)</f>
        <v>2</v>
      </c>
      <c r="AS48" s="6" t="n">
        <f aca="false">IF(ISNUMBER(J48),1,0)</f>
        <v>1</v>
      </c>
      <c r="AT48" s="6" t="n">
        <f aca="false">COUNTIFS(Runs!$B$2:$B$61,B48,Runs!$E$2:$E$61,E48,Runs!$N$2:$N$61,N48,Runs!$AS$2:$AS$61,1)</f>
        <v>2</v>
      </c>
      <c r="AU48" s="6" t="n">
        <f aca="false">IF(AS48=1,AVERAGEIFS(Runs!$J$2:$J$61,Runs!$B$2:$B$61,B48,Runs!$E$2:$E$61,E48,Runs!$N$2:$N$61,N48,Runs!$AS$2:$AS$61,1),"")</f>
        <v>1</v>
      </c>
      <c r="AV48" s="6" t="n">
        <f aca="false">IF(AS48=1,IF(AT48&gt;1,(J48-AU48)^2*AT48/(AT48-1),0),0)</f>
        <v>0</v>
      </c>
      <c r="AW48" s="6" t="n">
        <f aca="false">IF(ISNUMBER(Q48),1,0)</f>
        <v>1</v>
      </c>
      <c r="AX48" s="6" t="n">
        <f aca="false">COUNTIFS(Runs!$B$2:$B$61,B48,Runs!$E$2:$E$61,E48,Runs!$N$2:$N$61,N48,Runs!$AW$2:$AW$61,1)</f>
        <v>2</v>
      </c>
      <c r="AY48" s="6" t="n">
        <f aca="false">IF(AW48=1,AVERAGEIFS(Runs!$Q$2:$Q$61,Runs!$B$2:$B$61,B48,Runs!$E$2:$E$61,E48,Runs!$N$2:$N$61,N48,Runs!$AW$2:$AW$61,1),"")</f>
        <v>5.10578015731782</v>
      </c>
      <c r="AZ48" s="6" t="n">
        <f aca="false">IF(AW48=1,IF(AX48&gt;1,(Q48-AY48)^2*AX48/(AX48-1),0),0)</f>
        <v>0.000661302771269694</v>
      </c>
    </row>
    <row r="49" customFormat="false" ht="15" hidden="false" customHeight="false" outlineLevel="0" collapsed="false">
      <c r="A49" s="9" t="s">
        <v>168</v>
      </c>
      <c r="B49" s="9" t="s">
        <v>156</v>
      </c>
      <c r="C49" s="9" t="s">
        <v>105</v>
      </c>
      <c r="D49" s="9" t="s">
        <v>126</v>
      </c>
      <c r="E49" s="9" t="s">
        <v>115</v>
      </c>
      <c r="F49" s="9" t="n">
        <v>2</v>
      </c>
      <c r="G49" s="9" t="s">
        <v>108</v>
      </c>
      <c r="H49" s="9" t="n">
        <v>54</v>
      </c>
      <c r="I49" s="9" t="n">
        <v>0</v>
      </c>
      <c r="J49" s="9" t="n">
        <v>1</v>
      </c>
      <c r="K49" s="9" t="n">
        <v>162</v>
      </c>
      <c r="L49" s="9" t="n">
        <v>0</v>
      </c>
      <c r="M49" s="9" t="n">
        <v>1</v>
      </c>
      <c r="N49" s="6" t="str">
        <f aca="false">C49&amp;"|"&amp;D49</f>
        <v>kanban-board|no_verification</v>
      </c>
      <c r="O49" s="6" t="n">
        <f aca="false">IF(G49="finished",0,1)</f>
        <v>0</v>
      </c>
      <c r="P49" s="6" t="n">
        <f aca="false">IF(O49=0,LN(H49),"")</f>
        <v>3.98898404656427</v>
      </c>
      <c r="Q49" s="6" t="n">
        <f aca="false">IF(ISNUMBER(K49),IF(K49&gt;0,LN(K49),""),"")</f>
        <v>5.08759633523238</v>
      </c>
      <c r="R49" s="6" t="n">
        <f aca="false">IF(M49=1,INDEX(Quality!$AF:$AF,MATCH(A49,Quality!$A:$A,0)),"")</f>
        <v>92</v>
      </c>
      <c r="S49" s="6" t="n">
        <f aca="false">IF(R49="","",IF(T49=1,0,R49))</f>
        <v>0</v>
      </c>
      <c r="T49" s="6" t="n">
        <f aca="false">IF(M49=1,INDEX(Quality!$AG:$AG,MATCH(A49,Quality!$A:$A,0)),0)</f>
        <v>1</v>
      </c>
      <c r="U49" s="6" t="n">
        <f aca="false">IF(M49=1,INDEX(Quality!$AS:$AS,MATCH(A49,Quality!$A:$A,0)),"")</f>
        <v>0.6</v>
      </c>
      <c r="V49" s="9" t="n">
        <v>0</v>
      </c>
      <c r="W49" s="9" t="n">
        <v>3.98898</v>
      </c>
      <c r="X49" s="9" t="n">
        <v>5.0876</v>
      </c>
      <c r="Y49" s="9" t="n">
        <v>92</v>
      </c>
      <c r="Z49" s="9" t="n">
        <v>1</v>
      </c>
      <c r="AA49" s="9" t="n">
        <v>0.6</v>
      </c>
      <c r="AB49" s="9" t="s">
        <v>108</v>
      </c>
      <c r="AC49" s="9" t="n">
        <v>54</v>
      </c>
      <c r="AD49" s="9" t="n">
        <v>1</v>
      </c>
      <c r="AE49" s="9" t="n">
        <v>162</v>
      </c>
      <c r="AF49" s="9" t="n">
        <v>0</v>
      </c>
      <c r="AG49" s="9" t="n">
        <v>0</v>
      </c>
      <c r="AH49" s="6" t="str">
        <f aca="false">IF(AND(G49=AB49,IF(AND(ISNUMBER(H49),ISNUMBER(AC49)),ABS(N(H49)-N(AC49))&lt;=Settings!$B$9*MAX(1,ABS(N(AC49))),AND(H49="",AC49="")),IF(AND(ISNUMBER(J49),ISNUMBER(AD49)),ABS(N(J49)-N(AD49))&lt;=Settings!$B$9*MAX(1,ABS(N(AD49))),AND(J49="",AD49="")),IF(AND(ISNUMBER(K49),ISNUMBER(AE49)),ABS(N(K49)-N(AE49))&lt;=Settings!$B$9*MAX(1,ABS(N(AE49))),AND(K49="",AE49="")),L49=AF49,I49=AG49),"ok","CHECK")</f>
        <v>ok</v>
      </c>
      <c r="AI49" s="6" t="str">
        <f aca="false">IF(AND(IF(AND(ISNUMBER(O49),ISNUMBER(V49)),ABS(N(O49)-N(V49))&lt;=Settings!$B$9*MAX(1,ABS(N(V49))),AND(O49="",V49="")),IF(AND(ISNUMBER(P49),ISNUMBER(W49)),ABS(N(P49)-N(W49))&lt;=Settings!$B$9*MAX(1,ABS(N(W49))),AND(P49="",W49="")),IF(AND(ISNUMBER(Q49),ISNUMBER(X49)),ABS(N(Q49)-N(X49))&lt;=Settings!$B$9*MAX(1,ABS(N(X49))),AND(Q49="",X49="")),IF(AND(ISNUMBER(R49),ISNUMBER(Y49)),ABS(N(R49)-N(Y49))&lt;=Settings!$B$9*MAX(1,ABS(N(Y49))),AND(R49="",Y49="")),T49=Z49,IF(AND(ISNUMBER(U49),ISNUMBER(AA49)),ABS(N(U49)-N(AA49))&lt;=Settings!$B$9*MAX(1,ABS(N(AA49))),AND(U49="",AA49=""))),"ok","CHECK")</f>
        <v>ok</v>
      </c>
      <c r="AJ49" s="2"/>
      <c r="AK49" s="6" t="n">
        <f aca="false">IF(ISNUMBER(P49),1,0)</f>
        <v>1</v>
      </c>
      <c r="AL49" s="6" t="n">
        <f aca="false">COUNTIFS(Runs!$B$2:$B$61,B49,Runs!$E$2:$E$61,E49,Runs!$N$2:$N$61,N49,Runs!$AK$2:$AK$61,1)</f>
        <v>2</v>
      </c>
      <c r="AM49" s="6" t="n">
        <f aca="false">IF(AK49=1,AVERAGEIFS(Runs!$P$2:$P$61,Runs!$B$2:$B$61,B49,Runs!$E$2:$E$61,E49,Runs!$N$2:$N$61,N49,Runs!$AK$2:$AK$61,1),"")</f>
        <v>3.67813993827537</v>
      </c>
      <c r="AN49" s="6" t="n">
        <f aca="false">IF(AK49=1,IF(AL49&gt;1,(P49-AM49)^2*AL49/(AL49-1),0),0)</f>
        <v>0.193248119315843</v>
      </c>
      <c r="AO49" s="6" t="n">
        <f aca="false">IF(ISNUMBER(R49),1,0)</f>
        <v>1</v>
      </c>
      <c r="AP49" s="6" t="n">
        <f aca="false">COUNTIFS(Runs!$B$2:$B$61,B49,Runs!$E$2:$E$61,E49,Runs!$N$2:$N$61,N49,Runs!$AO$2:$AO$61,1)</f>
        <v>2</v>
      </c>
      <c r="AQ49" s="6" t="n">
        <f aca="false">IF(AO49=1,AVERAGEIFS(Runs!$R$2:$R$61,Runs!$B$2:$B$61,B49,Runs!$E$2:$E$61,E49,Runs!$N$2:$N$61,N49,Runs!$AO$2:$AO$61,1),"")</f>
        <v>93</v>
      </c>
      <c r="AR49" s="6" t="n">
        <f aca="false">IF(AO49=1,IF(AP49&gt;1,(R49-AQ49)^2*AP49/(AP49-1),0),0)</f>
        <v>2</v>
      </c>
      <c r="AS49" s="6" t="n">
        <f aca="false">IF(ISNUMBER(J49),1,0)</f>
        <v>1</v>
      </c>
      <c r="AT49" s="6" t="n">
        <f aca="false">COUNTIFS(Runs!$B$2:$B$61,B49,Runs!$E$2:$E$61,E49,Runs!$N$2:$N$61,N49,Runs!$AS$2:$AS$61,1)</f>
        <v>2</v>
      </c>
      <c r="AU49" s="6" t="n">
        <f aca="false">IF(AS49=1,AVERAGEIFS(Runs!$J$2:$J$61,Runs!$B$2:$B$61,B49,Runs!$E$2:$E$61,E49,Runs!$N$2:$N$61,N49,Runs!$AS$2:$AS$61,1),"")</f>
        <v>1</v>
      </c>
      <c r="AV49" s="6" t="n">
        <f aca="false">IF(AS49=1,IF(AT49&gt;1,(J49-AU49)^2*AT49/(AT49-1),0),0)</f>
        <v>0</v>
      </c>
      <c r="AW49" s="6" t="n">
        <f aca="false">IF(ISNUMBER(Q49),1,0)</f>
        <v>1</v>
      </c>
      <c r="AX49" s="6" t="n">
        <f aca="false">COUNTIFS(Runs!$B$2:$B$61,B49,Runs!$E$2:$E$61,E49,Runs!$N$2:$N$61,N49,Runs!$AW$2:$AW$61,1)</f>
        <v>2</v>
      </c>
      <c r="AY49" s="6" t="n">
        <f aca="false">IF(AW49=1,AVERAGEIFS(Runs!$Q$2:$Q$61,Runs!$B$2:$B$61,B49,Runs!$E$2:$E$61,E49,Runs!$N$2:$N$61,N49,Runs!$AW$2:$AW$61,1),"")</f>
        <v>5.10578015731782</v>
      </c>
      <c r="AZ49" s="6" t="n">
        <f aca="false">IF(AW49=1,IF(AX49&gt;1,(Q49-AY49)^2*AX49/(AX49-1),0),0)</f>
        <v>0.000661302771269694</v>
      </c>
    </row>
    <row r="50" customFormat="false" ht="15" hidden="false" customHeight="false" outlineLevel="0" collapsed="false">
      <c r="A50" s="9" t="s">
        <v>169</v>
      </c>
      <c r="B50" s="9" t="s">
        <v>156</v>
      </c>
      <c r="C50" s="9" t="s">
        <v>135</v>
      </c>
      <c r="D50" s="9" t="s">
        <v>106</v>
      </c>
      <c r="E50" s="9" t="s">
        <v>111</v>
      </c>
      <c r="F50" s="9" t="n">
        <v>1</v>
      </c>
      <c r="G50" s="9" t="s">
        <v>108</v>
      </c>
      <c r="H50" s="9" t="n">
        <v>71</v>
      </c>
      <c r="I50" s="9" t="n">
        <v>0</v>
      </c>
      <c r="J50" s="9" t="n">
        <v>0.732394</v>
      </c>
      <c r="K50" s="9" t="n">
        <v>351</v>
      </c>
      <c r="L50" s="9" t="n">
        <v>1</v>
      </c>
      <c r="M50" s="9" t="n">
        <v>1</v>
      </c>
      <c r="N50" s="6" t="str">
        <f aca="false">C50&amp;"|"&amp;D50</f>
        <v>message-board|execution</v>
      </c>
      <c r="O50" s="6" t="n">
        <f aca="false">IF(G50="finished",0,1)</f>
        <v>0</v>
      </c>
      <c r="P50" s="6" t="n">
        <f aca="false">IF(O50=0,LN(H50),"")</f>
        <v>4.26267987704132</v>
      </c>
      <c r="Q50" s="6" t="n">
        <f aca="false">IF(ISNUMBER(K50),IF(K50&gt;0,LN(K50),""),"")</f>
        <v>5.86078622346587</v>
      </c>
      <c r="R50" s="6" t="n">
        <f aca="false">IF(M50=1,INDEX(Quality!$AF:$AF,MATCH(A50,Quality!$A:$A,0)),"")</f>
        <v>3.7</v>
      </c>
      <c r="S50" s="6" t="n">
        <f aca="false">IF(R50="","",IF(T50=1,0,R50))</f>
        <v>3.7</v>
      </c>
      <c r="T50" s="6" t="n">
        <f aca="false">IF(M50=1,INDEX(Quality!$AG:$AG,MATCH(A50,Quality!$A:$A,0)),0)</f>
        <v>0</v>
      </c>
      <c r="U50" s="6" t="n">
        <f aca="false">IF(M50=1,INDEX(Quality!$AS:$AS,MATCH(A50,Quality!$A:$A,0)),"")</f>
        <v>1</v>
      </c>
      <c r="V50" s="9" t="n">
        <v>0</v>
      </c>
      <c r="W50" s="9" t="n">
        <v>4.26268</v>
      </c>
      <c r="X50" s="9" t="n">
        <v>5.86079</v>
      </c>
      <c r="Y50" s="9" t="n">
        <v>3.7</v>
      </c>
      <c r="Z50" s="9" t="n">
        <v>0</v>
      </c>
      <c r="AA50" s="9" t="n">
        <v>1</v>
      </c>
      <c r="AB50" s="9" t="s">
        <v>108</v>
      </c>
      <c r="AC50" s="9" t="n">
        <v>71</v>
      </c>
      <c r="AD50" s="9" t="n">
        <v>0.732394366197183</v>
      </c>
      <c r="AE50" s="9" t="n">
        <v>351</v>
      </c>
      <c r="AF50" s="9" t="n">
        <v>1</v>
      </c>
      <c r="AG50" s="9" t="n">
        <v>0</v>
      </c>
      <c r="AH50" s="6" t="str">
        <f aca="false">IF(AND(G50=AB50,IF(AND(ISNUMBER(H50),ISNUMBER(AC50)),ABS(N(H50)-N(AC50))&lt;=Settings!$B$9*MAX(1,ABS(N(AC50))),AND(H50="",AC50="")),IF(AND(ISNUMBER(J50),ISNUMBER(AD50)),ABS(N(J50)-N(AD50))&lt;=Settings!$B$9*MAX(1,ABS(N(AD50))),AND(J50="",AD50="")),IF(AND(ISNUMBER(K50),ISNUMBER(AE50)),ABS(N(K50)-N(AE50))&lt;=Settings!$B$9*MAX(1,ABS(N(AE50))),AND(K50="",AE50="")),L50=AF50,I50=AG50),"ok","CHECK")</f>
        <v>ok</v>
      </c>
      <c r="AI50" s="6" t="str">
        <f aca="false">IF(AND(IF(AND(ISNUMBER(O50),ISNUMBER(V50)),ABS(N(O50)-N(V50))&lt;=Settings!$B$9*MAX(1,ABS(N(V50))),AND(O50="",V50="")),IF(AND(ISNUMBER(P50),ISNUMBER(W50)),ABS(N(P50)-N(W50))&lt;=Settings!$B$9*MAX(1,ABS(N(W50))),AND(P50="",W50="")),IF(AND(ISNUMBER(Q50),ISNUMBER(X50)),ABS(N(Q50)-N(X50))&lt;=Settings!$B$9*MAX(1,ABS(N(X50))),AND(Q50="",X50="")),IF(AND(ISNUMBER(R50),ISNUMBER(Y50)),ABS(N(R50)-N(Y50))&lt;=Settings!$B$9*MAX(1,ABS(N(Y50))),AND(R50="",Y50="")),T50=Z50,IF(AND(ISNUMBER(U50),ISNUMBER(AA50)),ABS(N(U50)-N(AA50))&lt;=Settings!$B$9*MAX(1,ABS(N(AA50))),AND(U50="",AA50=""))),"ok","CHECK")</f>
        <v>ok</v>
      </c>
      <c r="AJ50" s="2"/>
      <c r="AK50" s="6" t="n">
        <f aca="false">IF(ISNUMBER(P50),1,0)</f>
        <v>1</v>
      </c>
      <c r="AL50" s="6" t="n">
        <f aca="false">COUNTIFS(Runs!$B$2:$B$61,B50,Runs!$E$2:$E$61,E50,Runs!$N$2:$N$61,N50,Runs!$AK$2:$AK$61,1)</f>
        <v>2</v>
      </c>
      <c r="AM50" s="6" t="n">
        <f aca="false">IF(AK50=1,AVERAGEIFS(Runs!$P$2:$P$61,Runs!$B$2:$B$61,B50,Runs!$E$2:$E$61,E50,Runs!$N$2:$N$61,N50,Runs!$AK$2:$AK$61,1),"")</f>
        <v>4.0669404439746</v>
      </c>
      <c r="AN50" s="6" t="n">
        <f aca="false">IF(AK50=1,IF(AL50&gt;1,(P50-AM50)^2*AL50/(AL50-1),0),0)</f>
        <v>0.0766278513145556</v>
      </c>
      <c r="AO50" s="6" t="n">
        <f aca="false">IF(ISNUMBER(R50),1,0)</f>
        <v>1</v>
      </c>
      <c r="AP50" s="6" t="n">
        <f aca="false">COUNTIFS(Runs!$B$2:$B$61,B50,Runs!$E$2:$E$61,E50,Runs!$N$2:$N$61,N50,Runs!$AO$2:$AO$61,1)</f>
        <v>2</v>
      </c>
      <c r="AQ50" s="6" t="n">
        <f aca="false">IF(AO50=1,AVERAGEIFS(Runs!$R$2:$R$61,Runs!$B$2:$B$61,B50,Runs!$E$2:$E$61,E50,Runs!$N$2:$N$61,N50,Runs!$AO$2:$AO$61,1),"")</f>
        <v>40.74</v>
      </c>
      <c r="AR50" s="6" t="n">
        <f aca="false">IF(AO50=1,IF(AP50&gt;1,(R50-AQ50)^2*AP50/(AP50-1),0),0)</f>
        <v>2743.9232</v>
      </c>
      <c r="AS50" s="6" t="n">
        <f aca="false">IF(ISNUMBER(J50),1,0)</f>
        <v>1</v>
      </c>
      <c r="AT50" s="6" t="n">
        <f aca="false">COUNTIFS(Runs!$B$2:$B$61,B50,Runs!$E$2:$E$61,E50,Runs!$N$2:$N$61,N50,Runs!$AS$2:$AS$61,1)</f>
        <v>2</v>
      </c>
      <c r="AU50" s="6" t="n">
        <f aca="false">IF(AS50=1,AVERAGEIFS(Runs!$J$2:$J$61,Runs!$B$2:$B$61,B50,Runs!$E$2:$E$61,E50,Runs!$N$2:$N$61,N50,Runs!$AS$2:$AS$61,1),"")</f>
        <v>0.7516135</v>
      </c>
      <c r="AV50" s="6" t="n">
        <f aca="false">IF(AS50=1,IF(AT50&gt;1,(J50-AU50)^2*AT50/(AT50-1),0),0)</f>
        <v>0.000738778360499996</v>
      </c>
      <c r="AW50" s="6" t="n">
        <f aca="false">IF(ISNUMBER(Q50),1,0)</f>
        <v>1</v>
      </c>
      <c r="AX50" s="6" t="n">
        <f aca="false">COUNTIFS(Runs!$B$2:$B$61,B50,Runs!$E$2:$E$61,E50,Runs!$N$2:$N$61,N50,Runs!$AW$2:$AW$61,1)</f>
        <v>2</v>
      </c>
      <c r="AY50" s="6" t="n">
        <f aca="false">IF(AW50=1,AVERAGEIFS(Runs!$Q$2:$Q$61,Runs!$B$2:$B$61,B50,Runs!$E$2:$E$61,E50,Runs!$N$2:$N$61,N50,Runs!$AW$2:$AW$61,1),"")</f>
        <v>5.91218278354216</v>
      </c>
      <c r="AZ50" s="6" t="n">
        <f aca="false">IF(AW50=1,IF(AX50&gt;1,(Q50-AY50)^2*AX50/(AX50-1),0),0)</f>
        <v>0.00528321277535133</v>
      </c>
    </row>
    <row r="51" customFormat="false" ht="15" hidden="false" customHeight="false" outlineLevel="0" collapsed="false">
      <c r="A51" s="9" t="s">
        <v>170</v>
      </c>
      <c r="B51" s="9" t="s">
        <v>156</v>
      </c>
      <c r="C51" s="9" t="s">
        <v>135</v>
      </c>
      <c r="D51" s="9" t="s">
        <v>106</v>
      </c>
      <c r="E51" s="9" t="s">
        <v>111</v>
      </c>
      <c r="F51" s="9" t="n">
        <v>2</v>
      </c>
      <c r="G51" s="9" t="s">
        <v>108</v>
      </c>
      <c r="H51" s="9" t="n">
        <v>48</v>
      </c>
      <c r="I51" s="9" t="n">
        <v>0</v>
      </c>
      <c r="J51" s="9" t="n">
        <v>0.770833</v>
      </c>
      <c r="K51" s="9" t="n">
        <v>389</v>
      </c>
      <c r="L51" s="9" t="n">
        <v>0</v>
      </c>
      <c r="M51" s="9" t="n">
        <v>1</v>
      </c>
      <c r="N51" s="6" t="str">
        <f aca="false">C51&amp;"|"&amp;D51</f>
        <v>message-board|execution</v>
      </c>
      <c r="O51" s="6" t="n">
        <f aca="false">IF(G51="finished",0,1)</f>
        <v>0</v>
      </c>
      <c r="P51" s="6" t="n">
        <f aca="false">IF(O51=0,LN(H51),"")</f>
        <v>3.87120101090789</v>
      </c>
      <c r="Q51" s="6" t="n">
        <f aca="false">IF(ISNUMBER(K51),IF(K51&gt;0,LN(K51),""),"")</f>
        <v>5.96357934361845</v>
      </c>
      <c r="R51" s="6" t="n">
        <f aca="false">IF(M51=1,INDEX(Quality!$AF:$AF,MATCH(A51,Quality!$A:$A,0)),"")</f>
        <v>77.78</v>
      </c>
      <c r="S51" s="6" t="n">
        <f aca="false">IF(R51="","",IF(T51=1,0,R51))</f>
        <v>77.78</v>
      </c>
      <c r="T51" s="6" t="n">
        <f aca="false">IF(M51=1,INDEX(Quality!$AG:$AG,MATCH(A51,Quality!$A:$A,0)),0)</f>
        <v>0</v>
      </c>
      <c r="U51" s="6" t="n">
        <f aca="false">IF(M51=1,INDEX(Quality!$AS:$AS,MATCH(A51,Quality!$A:$A,0)),"")</f>
        <v>0.75</v>
      </c>
      <c r="V51" s="9" t="n">
        <v>0</v>
      </c>
      <c r="W51" s="9" t="n">
        <v>3.8712</v>
      </c>
      <c r="X51" s="9" t="n">
        <v>5.96358</v>
      </c>
      <c r="Y51" s="9" t="n">
        <v>77.78</v>
      </c>
      <c r="Z51" s="9" t="n">
        <v>0</v>
      </c>
      <c r="AA51" s="9" t="n">
        <v>0.75</v>
      </c>
      <c r="AB51" s="9" t="s">
        <v>108</v>
      </c>
      <c r="AC51" s="9" t="n">
        <v>48</v>
      </c>
      <c r="AD51" s="9" t="n">
        <v>0.770833333333333</v>
      </c>
      <c r="AE51" s="9" t="n">
        <v>389</v>
      </c>
      <c r="AF51" s="9" t="n">
        <v>0</v>
      </c>
      <c r="AG51" s="9" t="n">
        <v>0</v>
      </c>
      <c r="AH51" s="6" t="str">
        <f aca="false">IF(AND(G51=AB51,IF(AND(ISNUMBER(H51),ISNUMBER(AC51)),ABS(N(H51)-N(AC51))&lt;=Settings!$B$9*MAX(1,ABS(N(AC51))),AND(H51="",AC51="")),IF(AND(ISNUMBER(J51),ISNUMBER(AD51)),ABS(N(J51)-N(AD51))&lt;=Settings!$B$9*MAX(1,ABS(N(AD51))),AND(J51="",AD51="")),IF(AND(ISNUMBER(K51),ISNUMBER(AE51)),ABS(N(K51)-N(AE51))&lt;=Settings!$B$9*MAX(1,ABS(N(AE51))),AND(K51="",AE51="")),L51=AF51,I51=AG51),"ok","CHECK")</f>
        <v>ok</v>
      </c>
      <c r="AI51" s="6" t="str">
        <f aca="false">IF(AND(IF(AND(ISNUMBER(O51),ISNUMBER(V51)),ABS(N(O51)-N(V51))&lt;=Settings!$B$9*MAX(1,ABS(N(V51))),AND(O51="",V51="")),IF(AND(ISNUMBER(P51),ISNUMBER(W51)),ABS(N(P51)-N(W51))&lt;=Settings!$B$9*MAX(1,ABS(N(W51))),AND(P51="",W51="")),IF(AND(ISNUMBER(Q51),ISNUMBER(X51)),ABS(N(Q51)-N(X51))&lt;=Settings!$B$9*MAX(1,ABS(N(X51))),AND(Q51="",X51="")),IF(AND(ISNUMBER(R51),ISNUMBER(Y51)),ABS(N(R51)-N(Y51))&lt;=Settings!$B$9*MAX(1,ABS(N(Y51))),AND(R51="",Y51="")),T51=Z51,IF(AND(ISNUMBER(U51),ISNUMBER(AA51)),ABS(N(U51)-N(AA51))&lt;=Settings!$B$9*MAX(1,ABS(N(AA51))),AND(U51="",AA51=""))),"ok","CHECK")</f>
        <v>ok</v>
      </c>
      <c r="AJ51" s="2"/>
      <c r="AK51" s="6" t="n">
        <f aca="false">IF(ISNUMBER(P51),1,0)</f>
        <v>1</v>
      </c>
      <c r="AL51" s="6" t="n">
        <f aca="false">COUNTIFS(Runs!$B$2:$B$61,B51,Runs!$E$2:$E$61,E51,Runs!$N$2:$N$61,N51,Runs!$AK$2:$AK$61,1)</f>
        <v>2</v>
      </c>
      <c r="AM51" s="6" t="n">
        <f aca="false">IF(AK51=1,AVERAGEIFS(Runs!$P$2:$P$61,Runs!$B$2:$B$61,B51,Runs!$E$2:$E$61,E51,Runs!$N$2:$N$61,N51,Runs!$AK$2:$AK$61,1),"")</f>
        <v>4.0669404439746</v>
      </c>
      <c r="AN51" s="6" t="n">
        <f aca="false">IF(AK51=1,IF(AL51&gt;1,(P51-AM51)^2*AL51/(AL51-1),0),0)</f>
        <v>0.076627851314556</v>
      </c>
      <c r="AO51" s="6" t="n">
        <f aca="false">IF(ISNUMBER(R51),1,0)</f>
        <v>1</v>
      </c>
      <c r="AP51" s="6" t="n">
        <f aca="false">COUNTIFS(Runs!$B$2:$B$61,B51,Runs!$E$2:$E$61,E51,Runs!$N$2:$N$61,N51,Runs!$AO$2:$AO$61,1)</f>
        <v>2</v>
      </c>
      <c r="AQ51" s="6" t="n">
        <f aca="false">IF(AO51=1,AVERAGEIFS(Runs!$R$2:$R$61,Runs!$B$2:$B$61,B51,Runs!$E$2:$E$61,E51,Runs!$N$2:$N$61,N51,Runs!$AO$2:$AO$61,1),"")</f>
        <v>40.74</v>
      </c>
      <c r="AR51" s="6" t="n">
        <f aca="false">IF(AO51=1,IF(AP51&gt;1,(R51-AQ51)^2*AP51/(AP51-1),0),0)</f>
        <v>2743.9232</v>
      </c>
      <c r="AS51" s="6" t="n">
        <f aca="false">IF(ISNUMBER(J51),1,0)</f>
        <v>1</v>
      </c>
      <c r="AT51" s="6" t="n">
        <f aca="false">COUNTIFS(Runs!$B$2:$B$61,B51,Runs!$E$2:$E$61,E51,Runs!$N$2:$N$61,N51,Runs!$AS$2:$AS$61,1)</f>
        <v>2</v>
      </c>
      <c r="AU51" s="6" t="n">
        <f aca="false">IF(AS51=1,AVERAGEIFS(Runs!$J$2:$J$61,Runs!$B$2:$B$61,B51,Runs!$E$2:$E$61,E51,Runs!$N$2:$N$61,N51,Runs!$AS$2:$AS$61,1),"")</f>
        <v>0.7516135</v>
      </c>
      <c r="AV51" s="6" t="n">
        <f aca="false">IF(AS51=1,IF(AT51&gt;1,(J51-AU51)^2*AT51/(AT51-1),0),0)</f>
        <v>0.000738778360500004</v>
      </c>
      <c r="AW51" s="6" t="n">
        <f aca="false">IF(ISNUMBER(Q51),1,0)</f>
        <v>1</v>
      </c>
      <c r="AX51" s="6" t="n">
        <f aca="false">COUNTIFS(Runs!$B$2:$B$61,B51,Runs!$E$2:$E$61,E51,Runs!$N$2:$N$61,N51,Runs!$AW$2:$AW$61,1)</f>
        <v>2</v>
      </c>
      <c r="AY51" s="6" t="n">
        <f aca="false">IF(AW51=1,AVERAGEIFS(Runs!$Q$2:$Q$61,Runs!$B$2:$B$61,B51,Runs!$E$2:$E$61,E51,Runs!$N$2:$N$61,N51,Runs!$AW$2:$AW$61,1),"")</f>
        <v>5.91218278354216</v>
      </c>
      <c r="AZ51" s="6" t="n">
        <f aca="false">IF(AW51=1,IF(AX51&gt;1,(Q51-AY51)^2*AX51/(AX51-1),0),0)</f>
        <v>0.00528321277535151</v>
      </c>
    </row>
    <row r="52" customFormat="false" ht="15" hidden="false" customHeight="false" outlineLevel="0" collapsed="false">
      <c r="A52" s="9" t="s">
        <v>171</v>
      </c>
      <c r="B52" s="9" t="s">
        <v>156</v>
      </c>
      <c r="C52" s="9" t="s">
        <v>135</v>
      </c>
      <c r="D52" s="9" t="s">
        <v>106</v>
      </c>
      <c r="E52" s="9" t="s">
        <v>115</v>
      </c>
      <c r="F52" s="9" t="n">
        <v>1</v>
      </c>
      <c r="G52" s="9" t="s">
        <v>108</v>
      </c>
      <c r="H52" s="9" t="n">
        <v>38</v>
      </c>
      <c r="I52" s="9" t="n">
        <v>1</v>
      </c>
      <c r="J52" s="9" t="n">
        <v>0.973684</v>
      </c>
      <c r="K52" s="9" t="n">
        <v>131</v>
      </c>
      <c r="L52" s="9" t="n">
        <v>0</v>
      </c>
      <c r="M52" s="9" t="n">
        <v>1</v>
      </c>
      <c r="N52" s="6" t="str">
        <f aca="false">C52&amp;"|"&amp;D52</f>
        <v>message-board|execution</v>
      </c>
      <c r="O52" s="6" t="n">
        <f aca="false">IF(G52="finished",0,1)</f>
        <v>0</v>
      </c>
      <c r="P52" s="6" t="n">
        <f aca="false">IF(O52=0,LN(H52),"")</f>
        <v>3.63758615972639</v>
      </c>
      <c r="Q52" s="6" t="n">
        <f aca="false">IF(ISNUMBER(K52),IF(K52&gt;0,LN(K52),""),"")</f>
        <v>4.87519732320115</v>
      </c>
      <c r="R52" s="6" t="n">
        <f aca="false">IF(M52=1,INDEX(Quality!$AF:$AF,MATCH(A52,Quality!$A:$A,0)),"")</f>
        <v>92.59</v>
      </c>
      <c r="S52" s="6" t="n">
        <f aca="false">IF(R52="","",IF(T52=1,0,R52))</f>
        <v>92.59</v>
      </c>
      <c r="T52" s="6" t="n">
        <f aca="false">IF(M52=1,INDEX(Quality!$AG:$AG,MATCH(A52,Quality!$A:$A,0)),0)</f>
        <v>0</v>
      </c>
      <c r="U52" s="6" t="n">
        <f aca="false">IF(M52=1,INDEX(Quality!$AS:$AS,MATCH(A52,Quality!$A:$A,0)),"")</f>
        <v>0.75</v>
      </c>
      <c r="V52" s="9" t="n">
        <v>0</v>
      </c>
      <c r="W52" s="9" t="n">
        <v>3.63759</v>
      </c>
      <c r="X52" s="9" t="n">
        <v>4.8752</v>
      </c>
      <c r="Y52" s="9" t="n">
        <v>92.59</v>
      </c>
      <c r="Z52" s="9" t="n">
        <v>0</v>
      </c>
      <c r="AA52" s="9" t="n">
        <v>0.75</v>
      </c>
      <c r="AB52" s="9" t="s">
        <v>108</v>
      </c>
      <c r="AC52" s="9" t="n">
        <v>38</v>
      </c>
      <c r="AD52" s="9" t="n">
        <v>0.973684210526316</v>
      </c>
      <c r="AE52" s="9" t="n">
        <v>131</v>
      </c>
      <c r="AF52" s="9" t="n">
        <v>0</v>
      </c>
      <c r="AG52" s="9" t="n">
        <v>1</v>
      </c>
      <c r="AH52" s="6" t="str">
        <f aca="false">IF(AND(G52=AB52,IF(AND(ISNUMBER(H52),ISNUMBER(AC52)),ABS(N(H52)-N(AC52))&lt;=Settings!$B$9*MAX(1,ABS(N(AC52))),AND(H52="",AC52="")),IF(AND(ISNUMBER(J52),ISNUMBER(AD52)),ABS(N(J52)-N(AD52))&lt;=Settings!$B$9*MAX(1,ABS(N(AD52))),AND(J52="",AD52="")),IF(AND(ISNUMBER(K52),ISNUMBER(AE52)),ABS(N(K52)-N(AE52))&lt;=Settings!$B$9*MAX(1,ABS(N(AE52))),AND(K52="",AE52="")),L52=AF52,I52=AG52),"ok","CHECK")</f>
        <v>ok</v>
      </c>
      <c r="AI52" s="6" t="str">
        <f aca="false">IF(AND(IF(AND(ISNUMBER(O52),ISNUMBER(V52)),ABS(N(O52)-N(V52))&lt;=Settings!$B$9*MAX(1,ABS(N(V52))),AND(O52="",V52="")),IF(AND(ISNUMBER(P52),ISNUMBER(W52)),ABS(N(P52)-N(W52))&lt;=Settings!$B$9*MAX(1,ABS(N(W52))),AND(P52="",W52="")),IF(AND(ISNUMBER(Q52),ISNUMBER(X52)),ABS(N(Q52)-N(X52))&lt;=Settings!$B$9*MAX(1,ABS(N(X52))),AND(Q52="",X52="")),IF(AND(ISNUMBER(R52),ISNUMBER(Y52)),ABS(N(R52)-N(Y52))&lt;=Settings!$B$9*MAX(1,ABS(N(Y52))),AND(R52="",Y52="")),T52=Z52,IF(AND(ISNUMBER(U52),ISNUMBER(AA52)),ABS(N(U52)-N(AA52))&lt;=Settings!$B$9*MAX(1,ABS(N(AA52))),AND(U52="",AA52=""))),"ok","CHECK")</f>
        <v>ok</v>
      </c>
      <c r="AJ52" s="2"/>
      <c r="AK52" s="6" t="n">
        <f aca="false">IF(ISNUMBER(P52),1,0)</f>
        <v>1</v>
      </c>
      <c r="AL52" s="6" t="n">
        <f aca="false">COUNTIFS(Runs!$B$2:$B$61,B52,Runs!$E$2:$E$61,E52,Runs!$N$2:$N$61,N52,Runs!$AK$2:$AK$61,1)</f>
        <v>2</v>
      </c>
      <c r="AM52" s="6" t="n">
        <f aca="false">IF(AK52=1,AVERAGEIFS(Runs!$P$2:$P$61,Runs!$B$2:$B$61,B52,Runs!$E$2:$E$61,E52,Runs!$N$2:$N$61,N52,Runs!$AK$2:$AK$61,1),"")</f>
        <v>3.65057390292802</v>
      </c>
      <c r="AN52" s="6" t="n">
        <f aca="false">IF(AK52=1,IF(AL52&gt;1,(P52-AM52)^2*AL52/(AL52-1),0),0)</f>
        <v>0.000337362946942989</v>
      </c>
      <c r="AO52" s="6" t="n">
        <f aca="false">IF(ISNUMBER(R52),1,0)</f>
        <v>1</v>
      </c>
      <c r="AP52" s="6" t="n">
        <f aca="false">COUNTIFS(Runs!$B$2:$B$61,B52,Runs!$E$2:$E$61,E52,Runs!$N$2:$N$61,N52,Runs!$AO$2:$AO$61,1)</f>
        <v>2</v>
      </c>
      <c r="AQ52" s="6" t="n">
        <f aca="false">IF(AO52=1,AVERAGEIFS(Runs!$R$2:$R$61,Runs!$B$2:$B$61,B52,Runs!$E$2:$E$61,E52,Runs!$N$2:$N$61,N52,Runs!$AO$2:$AO$61,1),"")</f>
        <v>94.445</v>
      </c>
      <c r="AR52" s="6" t="n">
        <f aca="false">IF(AO52=1,IF(AP52&gt;1,(R52-AQ52)^2*AP52/(AP52-1),0),0)</f>
        <v>6.88204999999992</v>
      </c>
      <c r="AS52" s="6" t="n">
        <f aca="false">IF(ISNUMBER(J52),1,0)</f>
        <v>1</v>
      </c>
      <c r="AT52" s="6" t="n">
        <f aca="false">COUNTIFS(Runs!$B$2:$B$61,B52,Runs!$E$2:$E$61,E52,Runs!$N$2:$N$61,N52,Runs!$AS$2:$AS$61,1)</f>
        <v>2</v>
      </c>
      <c r="AU52" s="6" t="n">
        <f aca="false">IF(AS52=1,AVERAGEIFS(Runs!$J$2:$J$61,Runs!$B$2:$B$61,B52,Runs!$E$2:$E$61,E52,Runs!$N$2:$N$61,N52,Runs!$AS$2:$AS$61,1),"")</f>
        <v>0.986842</v>
      </c>
      <c r="AV52" s="6" t="n">
        <f aca="false">IF(AS52=1,IF(AT52&gt;1,(J52-AU52)^2*AT52/(AT52-1),0),0)</f>
        <v>0.000346265928</v>
      </c>
      <c r="AW52" s="6" t="n">
        <f aca="false">IF(ISNUMBER(Q52),1,0)</f>
        <v>1</v>
      </c>
      <c r="AX52" s="6" t="n">
        <f aca="false">COUNTIFS(Runs!$B$2:$B$61,B52,Runs!$E$2:$E$61,E52,Runs!$N$2:$N$61,N52,Runs!$AW$2:$AW$61,1)</f>
        <v>2</v>
      </c>
      <c r="AY52" s="6" t="n">
        <f aca="false">IF(AW52=1,AVERAGEIFS(Runs!$Q$2:$Q$61,Runs!$B$2:$B$61,B52,Runs!$E$2:$E$61,E52,Runs!$N$2:$N$61,N52,Runs!$AW$2:$AW$61,1),"")</f>
        <v>4.88651856157603</v>
      </c>
      <c r="AZ52" s="6" t="n">
        <f aca="false">IF(AW52=1,IF(AX52&gt;1,(Q52-AY52)^2*AX52/(AX52-1),0),0)</f>
        <v>0.00025634087668169</v>
      </c>
    </row>
    <row r="53" customFormat="false" ht="15" hidden="false" customHeight="false" outlineLevel="0" collapsed="false">
      <c r="A53" s="9" t="s">
        <v>172</v>
      </c>
      <c r="B53" s="9" t="s">
        <v>156</v>
      </c>
      <c r="C53" s="9" t="s">
        <v>135</v>
      </c>
      <c r="D53" s="9" t="s">
        <v>106</v>
      </c>
      <c r="E53" s="9" t="s">
        <v>115</v>
      </c>
      <c r="F53" s="9" t="n">
        <v>2</v>
      </c>
      <c r="G53" s="9" t="s">
        <v>108</v>
      </c>
      <c r="H53" s="9" t="n">
        <v>39</v>
      </c>
      <c r="I53" s="9" t="n">
        <v>0</v>
      </c>
      <c r="J53" s="9" t="n">
        <v>1</v>
      </c>
      <c r="K53" s="9" t="n">
        <v>134</v>
      </c>
      <c r="L53" s="9" t="n">
        <v>0</v>
      </c>
      <c r="M53" s="9" t="n">
        <v>1</v>
      </c>
      <c r="N53" s="6" t="str">
        <f aca="false">C53&amp;"|"&amp;D53</f>
        <v>message-board|execution</v>
      </c>
      <c r="O53" s="6" t="n">
        <f aca="false">IF(G53="finished",0,1)</f>
        <v>0</v>
      </c>
      <c r="P53" s="6" t="n">
        <f aca="false">IF(O53=0,LN(H53),"")</f>
        <v>3.66356164612965</v>
      </c>
      <c r="Q53" s="6" t="n">
        <f aca="false">IF(ISNUMBER(K53),IF(K53&gt;0,LN(K53),""),"")</f>
        <v>4.89783979995091</v>
      </c>
      <c r="R53" s="6" t="n">
        <f aca="false">IF(M53=1,INDEX(Quality!$AF:$AF,MATCH(A53,Quality!$A:$A,0)),"")</f>
        <v>96.3</v>
      </c>
      <c r="S53" s="6" t="n">
        <f aca="false">IF(R53="","",IF(T53=1,0,R53))</f>
        <v>96.3</v>
      </c>
      <c r="T53" s="6" t="n">
        <f aca="false">IF(M53=1,INDEX(Quality!$AG:$AG,MATCH(A53,Quality!$A:$A,0)),0)</f>
        <v>0</v>
      </c>
      <c r="U53" s="6" t="n">
        <f aca="false">IF(M53=1,INDEX(Quality!$AS:$AS,MATCH(A53,Quality!$A:$A,0)),"")</f>
        <v>1</v>
      </c>
      <c r="V53" s="9" t="n">
        <v>0</v>
      </c>
      <c r="W53" s="9" t="n">
        <v>3.66356</v>
      </c>
      <c r="X53" s="9" t="n">
        <v>4.89784</v>
      </c>
      <c r="Y53" s="9" t="n">
        <v>96.3</v>
      </c>
      <c r="Z53" s="9" t="n">
        <v>0</v>
      </c>
      <c r="AA53" s="9" t="n">
        <v>1</v>
      </c>
      <c r="AB53" s="9" t="s">
        <v>108</v>
      </c>
      <c r="AC53" s="9" t="n">
        <v>39</v>
      </c>
      <c r="AD53" s="9" t="n">
        <v>1</v>
      </c>
      <c r="AE53" s="9" t="n">
        <v>134</v>
      </c>
      <c r="AF53" s="9" t="n">
        <v>0</v>
      </c>
      <c r="AG53" s="9" t="n">
        <v>0</v>
      </c>
      <c r="AH53" s="6" t="str">
        <f aca="false">IF(AND(G53=AB53,IF(AND(ISNUMBER(H53),ISNUMBER(AC53)),ABS(N(H53)-N(AC53))&lt;=Settings!$B$9*MAX(1,ABS(N(AC53))),AND(H53="",AC53="")),IF(AND(ISNUMBER(J53),ISNUMBER(AD53)),ABS(N(J53)-N(AD53))&lt;=Settings!$B$9*MAX(1,ABS(N(AD53))),AND(J53="",AD53="")),IF(AND(ISNUMBER(K53),ISNUMBER(AE53)),ABS(N(K53)-N(AE53))&lt;=Settings!$B$9*MAX(1,ABS(N(AE53))),AND(K53="",AE53="")),L53=AF53,I53=AG53),"ok","CHECK")</f>
        <v>ok</v>
      </c>
      <c r="AI53" s="6" t="str">
        <f aca="false">IF(AND(IF(AND(ISNUMBER(O53),ISNUMBER(V53)),ABS(N(O53)-N(V53))&lt;=Settings!$B$9*MAX(1,ABS(N(V53))),AND(O53="",V53="")),IF(AND(ISNUMBER(P53),ISNUMBER(W53)),ABS(N(P53)-N(W53))&lt;=Settings!$B$9*MAX(1,ABS(N(W53))),AND(P53="",W53="")),IF(AND(ISNUMBER(Q53),ISNUMBER(X53)),ABS(N(Q53)-N(X53))&lt;=Settings!$B$9*MAX(1,ABS(N(X53))),AND(Q53="",X53="")),IF(AND(ISNUMBER(R53),ISNUMBER(Y53)),ABS(N(R53)-N(Y53))&lt;=Settings!$B$9*MAX(1,ABS(N(Y53))),AND(R53="",Y53="")),T53=Z53,IF(AND(ISNUMBER(U53),ISNUMBER(AA53)),ABS(N(U53)-N(AA53))&lt;=Settings!$B$9*MAX(1,ABS(N(AA53))),AND(U53="",AA53=""))),"ok","CHECK")</f>
        <v>ok</v>
      </c>
      <c r="AJ53" s="2"/>
      <c r="AK53" s="6" t="n">
        <f aca="false">IF(ISNUMBER(P53),1,0)</f>
        <v>1</v>
      </c>
      <c r="AL53" s="6" t="n">
        <f aca="false">COUNTIFS(Runs!$B$2:$B$61,B53,Runs!$E$2:$E$61,E53,Runs!$N$2:$N$61,N53,Runs!$AK$2:$AK$61,1)</f>
        <v>2</v>
      </c>
      <c r="AM53" s="6" t="n">
        <f aca="false">IF(AK53=1,AVERAGEIFS(Runs!$P$2:$P$61,Runs!$B$2:$B$61,B53,Runs!$E$2:$E$61,E53,Runs!$N$2:$N$61,N53,Runs!$AK$2:$AK$61,1),"")</f>
        <v>3.65057390292802</v>
      </c>
      <c r="AN53" s="6" t="n">
        <f aca="false">IF(AK53=1,IF(AL53&gt;1,(P53-AM53)^2*AL53/(AL53-1),0),0)</f>
        <v>0.000337362946942989</v>
      </c>
      <c r="AO53" s="6" t="n">
        <f aca="false">IF(ISNUMBER(R53),1,0)</f>
        <v>1</v>
      </c>
      <c r="AP53" s="6" t="n">
        <f aca="false">COUNTIFS(Runs!$B$2:$B$61,B53,Runs!$E$2:$E$61,E53,Runs!$N$2:$N$61,N53,Runs!$AO$2:$AO$61,1)</f>
        <v>2</v>
      </c>
      <c r="AQ53" s="6" t="n">
        <f aca="false">IF(AO53=1,AVERAGEIFS(Runs!$R$2:$R$61,Runs!$B$2:$B$61,B53,Runs!$E$2:$E$61,E53,Runs!$N$2:$N$61,N53,Runs!$AO$2:$AO$61,1),"")</f>
        <v>94.445</v>
      </c>
      <c r="AR53" s="6" t="n">
        <f aca="false">IF(AO53=1,IF(AP53&gt;1,(R53-AQ53)^2*AP53/(AP53-1),0),0)</f>
        <v>6.88205000000003</v>
      </c>
      <c r="AS53" s="6" t="n">
        <f aca="false">IF(ISNUMBER(J53),1,0)</f>
        <v>1</v>
      </c>
      <c r="AT53" s="6" t="n">
        <f aca="false">COUNTIFS(Runs!$B$2:$B$61,B53,Runs!$E$2:$E$61,E53,Runs!$N$2:$N$61,N53,Runs!$AS$2:$AS$61,1)</f>
        <v>2</v>
      </c>
      <c r="AU53" s="6" t="n">
        <f aca="false">IF(AS53=1,AVERAGEIFS(Runs!$J$2:$J$61,Runs!$B$2:$B$61,B53,Runs!$E$2:$E$61,E53,Runs!$N$2:$N$61,N53,Runs!$AS$2:$AS$61,1),"")</f>
        <v>0.986842</v>
      </c>
      <c r="AV53" s="6" t="n">
        <f aca="false">IF(AS53=1,IF(AT53&gt;1,(J53-AU53)^2*AT53/(AT53-1),0),0)</f>
        <v>0.000346265928</v>
      </c>
      <c r="AW53" s="6" t="n">
        <f aca="false">IF(ISNUMBER(Q53),1,0)</f>
        <v>1</v>
      </c>
      <c r="AX53" s="6" t="n">
        <f aca="false">COUNTIFS(Runs!$B$2:$B$61,B53,Runs!$E$2:$E$61,E53,Runs!$N$2:$N$61,N53,Runs!$AW$2:$AW$61,1)</f>
        <v>2</v>
      </c>
      <c r="AY53" s="6" t="n">
        <f aca="false">IF(AW53=1,AVERAGEIFS(Runs!$Q$2:$Q$61,Runs!$B$2:$B$61,B53,Runs!$E$2:$E$61,E53,Runs!$N$2:$N$61,N53,Runs!$AW$2:$AW$61,1),"")</f>
        <v>4.88651856157603</v>
      </c>
      <c r="AZ53" s="6" t="n">
        <f aca="false">IF(AW53=1,IF(AX53&gt;1,(Q53-AY53)^2*AX53/(AX53-1),0),0)</f>
        <v>0.00025634087668173</v>
      </c>
    </row>
    <row r="54" customFormat="false" ht="15" hidden="false" customHeight="false" outlineLevel="0" collapsed="false">
      <c r="A54" s="9" t="s">
        <v>173</v>
      </c>
      <c r="B54" s="9" t="s">
        <v>156</v>
      </c>
      <c r="C54" s="9" t="s">
        <v>135</v>
      </c>
      <c r="D54" s="9" t="s">
        <v>118</v>
      </c>
      <c r="E54" s="9" t="s">
        <v>111</v>
      </c>
      <c r="F54" s="9" t="n">
        <v>1</v>
      </c>
      <c r="G54" s="9" t="s">
        <v>108</v>
      </c>
      <c r="H54" s="9" t="n">
        <v>14</v>
      </c>
      <c r="I54" s="9" t="n">
        <v>0</v>
      </c>
      <c r="J54" s="9" t="n">
        <v>0.714286</v>
      </c>
      <c r="K54" s="9" t="n">
        <v>441</v>
      </c>
      <c r="L54" s="9" t="n">
        <v>1</v>
      </c>
      <c r="M54" s="9" t="n">
        <v>1</v>
      </c>
      <c r="N54" s="6" t="str">
        <f aca="false">C54&amp;"|"&amp;D54</f>
        <v>message-board|interactive</v>
      </c>
      <c r="O54" s="6" t="n">
        <f aca="false">IF(G54="finished",0,1)</f>
        <v>0</v>
      </c>
      <c r="P54" s="6" t="n">
        <f aca="false">IF(O54=0,LN(H54),"")</f>
        <v>2.63905732961526</v>
      </c>
      <c r="Q54" s="6" t="n">
        <f aca="false">IF(ISNUMBER(K54),IF(K54&gt;0,LN(K54),""),"")</f>
        <v>6.08904487544685</v>
      </c>
      <c r="R54" s="6" t="n">
        <f aca="false">IF(M54=1,INDEX(Quality!$AF:$AF,MATCH(A54,Quality!$A:$A,0)),"")</f>
        <v>92.59</v>
      </c>
      <c r="S54" s="6" t="n">
        <f aca="false">IF(R54="","",IF(T54=1,0,R54))</f>
        <v>92.59</v>
      </c>
      <c r="T54" s="6" t="n">
        <f aca="false">IF(M54=1,INDEX(Quality!$AG:$AG,MATCH(A54,Quality!$A:$A,0)),0)</f>
        <v>0</v>
      </c>
      <c r="U54" s="6" t="n">
        <f aca="false">IF(M54=1,INDEX(Quality!$AS:$AS,MATCH(A54,Quality!$A:$A,0)),"")</f>
        <v>0.75</v>
      </c>
      <c r="V54" s="9" t="n">
        <v>0</v>
      </c>
      <c r="W54" s="9" t="n">
        <v>2.63906</v>
      </c>
      <c r="X54" s="9" t="n">
        <v>6.08904</v>
      </c>
      <c r="Y54" s="9" t="n">
        <v>92.59</v>
      </c>
      <c r="Z54" s="9" t="n">
        <v>0</v>
      </c>
      <c r="AA54" s="9" t="n">
        <v>0.75</v>
      </c>
      <c r="AB54" s="9" t="s">
        <v>108</v>
      </c>
      <c r="AC54" s="9" t="n">
        <v>14</v>
      </c>
      <c r="AD54" s="9" t="n">
        <v>0.714285714285714</v>
      </c>
      <c r="AE54" s="9" t="n">
        <v>441</v>
      </c>
      <c r="AF54" s="9" t="n">
        <v>1</v>
      </c>
      <c r="AG54" s="9" t="n">
        <v>0</v>
      </c>
      <c r="AH54" s="6" t="str">
        <f aca="false">IF(AND(G54=AB54,IF(AND(ISNUMBER(H54),ISNUMBER(AC54)),ABS(N(H54)-N(AC54))&lt;=Settings!$B$9*MAX(1,ABS(N(AC54))),AND(H54="",AC54="")),IF(AND(ISNUMBER(J54),ISNUMBER(AD54)),ABS(N(J54)-N(AD54))&lt;=Settings!$B$9*MAX(1,ABS(N(AD54))),AND(J54="",AD54="")),IF(AND(ISNUMBER(K54),ISNUMBER(AE54)),ABS(N(K54)-N(AE54))&lt;=Settings!$B$9*MAX(1,ABS(N(AE54))),AND(K54="",AE54="")),L54=AF54,I54=AG54),"ok","CHECK")</f>
        <v>ok</v>
      </c>
      <c r="AI54" s="6" t="str">
        <f aca="false">IF(AND(IF(AND(ISNUMBER(O54),ISNUMBER(V54)),ABS(N(O54)-N(V54))&lt;=Settings!$B$9*MAX(1,ABS(N(V54))),AND(O54="",V54="")),IF(AND(ISNUMBER(P54),ISNUMBER(W54)),ABS(N(P54)-N(W54))&lt;=Settings!$B$9*MAX(1,ABS(N(W54))),AND(P54="",W54="")),IF(AND(ISNUMBER(Q54),ISNUMBER(X54)),ABS(N(Q54)-N(X54))&lt;=Settings!$B$9*MAX(1,ABS(N(X54))),AND(Q54="",X54="")),IF(AND(ISNUMBER(R54),ISNUMBER(Y54)),ABS(N(R54)-N(Y54))&lt;=Settings!$B$9*MAX(1,ABS(N(Y54))),AND(R54="",Y54="")),T54=Z54,IF(AND(ISNUMBER(U54),ISNUMBER(AA54)),ABS(N(U54)-N(AA54))&lt;=Settings!$B$9*MAX(1,ABS(N(AA54))),AND(U54="",AA54=""))),"ok","CHECK")</f>
        <v>ok</v>
      </c>
      <c r="AJ54" s="2"/>
      <c r="AK54" s="6" t="n">
        <f aca="false">IF(ISNUMBER(P54),1,0)</f>
        <v>1</v>
      </c>
      <c r="AL54" s="6" t="n">
        <f aca="false">COUNTIFS(Runs!$B$2:$B$61,B54,Runs!$E$2:$E$61,E54,Runs!$N$2:$N$61,N54,Runs!$AK$2:$AK$61,1)</f>
        <v>1</v>
      </c>
      <c r="AM54" s="6" t="n">
        <f aca="false">IF(AK54=1,AVERAGEIFS(Runs!$P$2:$P$61,Runs!$B$2:$B$61,B54,Runs!$E$2:$E$61,E54,Runs!$N$2:$N$61,N54,Runs!$AK$2:$AK$61,1),"")</f>
        <v>2.63905732961526</v>
      </c>
      <c r="AN54" s="6" t="n">
        <f aca="false">IF(AK54=1,IF(AL54&gt;1,(P54-AM54)^2*AL54/(AL54-1),0),0)</f>
        <v>0</v>
      </c>
      <c r="AO54" s="6" t="n">
        <f aca="false">IF(ISNUMBER(R54),1,0)</f>
        <v>1</v>
      </c>
      <c r="AP54" s="6" t="n">
        <f aca="false">COUNTIFS(Runs!$B$2:$B$61,B54,Runs!$E$2:$E$61,E54,Runs!$N$2:$N$61,N54,Runs!$AO$2:$AO$61,1)</f>
        <v>2</v>
      </c>
      <c r="AQ54" s="6" t="n">
        <f aca="false">IF(AO54=1,AVERAGEIFS(Runs!$R$2:$R$61,Runs!$B$2:$B$61,B54,Runs!$E$2:$E$61,E54,Runs!$N$2:$N$61,N54,Runs!$AO$2:$AO$61,1),"")</f>
        <v>92.59</v>
      </c>
      <c r="AR54" s="6" t="n">
        <f aca="false">IF(AO54=1,IF(AP54&gt;1,(R54-AQ54)^2*AP54/(AP54-1),0),0)</f>
        <v>0</v>
      </c>
      <c r="AS54" s="6" t="n">
        <f aca="false">IF(ISNUMBER(J54),1,0)</f>
        <v>1</v>
      </c>
      <c r="AT54" s="6" t="n">
        <f aca="false">COUNTIFS(Runs!$B$2:$B$61,B54,Runs!$E$2:$E$61,E54,Runs!$N$2:$N$61,N54,Runs!$AS$2:$AS$61,1)</f>
        <v>2</v>
      </c>
      <c r="AU54" s="6" t="n">
        <f aca="false">IF(AS54=1,AVERAGEIFS(Runs!$J$2:$J$61,Runs!$B$2:$B$61,B54,Runs!$E$2:$E$61,E54,Runs!$N$2:$N$61,N54,Runs!$AS$2:$AS$61,1),"")</f>
        <v>0.7714285</v>
      </c>
      <c r="AV54" s="6" t="n">
        <f aca="false">IF(AS54=1,IF(AT54&gt;1,(J54-AU54)^2*AT54/(AT54-1),0),0)</f>
        <v>0.0065305306125</v>
      </c>
      <c r="AW54" s="6" t="n">
        <f aca="false">IF(ISNUMBER(Q54),1,0)</f>
        <v>1</v>
      </c>
      <c r="AX54" s="6" t="n">
        <f aca="false">COUNTIFS(Runs!$B$2:$B$61,B54,Runs!$E$2:$E$61,E54,Runs!$N$2:$N$61,N54,Runs!$AW$2:$AW$61,1)</f>
        <v>2</v>
      </c>
      <c r="AY54" s="6" t="n">
        <f aca="false">IF(AW54=1,AVERAGEIFS(Runs!$Q$2:$Q$61,Runs!$B$2:$B$61,B54,Runs!$E$2:$E$61,E54,Runs!$N$2:$N$61,N54,Runs!$AW$2:$AW$61,1),"")</f>
        <v>6.04831440221736</v>
      </c>
      <c r="AZ54" s="6" t="n">
        <f aca="false">IF(AW54=1,IF(AX54&gt;1,(Q54-AY54)^2*AX54/(AX54-1),0),0)</f>
        <v>0.00331794289899643</v>
      </c>
    </row>
    <row r="55" customFormat="false" ht="15" hidden="false" customHeight="false" outlineLevel="0" collapsed="false">
      <c r="A55" s="9" t="s">
        <v>174</v>
      </c>
      <c r="B55" s="9" t="s">
        <v>156</v>
      </c>
      <c r="C55" s="9" t="s">
        <v>135</v>
      </c>
      <c r="D55" s="9" t="s">
        <v>118</v>
      </c>
      <c r="E55" s="9" t="s">
        <v>111</v>
      </c>
      <c r="F55" s="9" t="n">
        <v>2</v>
      </c>
      <c r="G55" s="9" t="s">
        <v>131</v>
      </c>
      <c r="H55" s="9" t="n">
        <v>70</v>
      </c>
      <c r="I55" s="9" t="n">
        <v>0</v>
      </c>
      <c r="J55" s="9" t="n">
        <v>0.828571</v>
      </c>
      <c r="K55" s="9" t="n">
        <v>406.5</v>
      </c>
      <c r="L55" s="9" t="n">
        <v>0</v>
      </c>
      <c r="M55" s="9" t="n">
        <v>1</v>
      </c>
      <c r="N55" s="6" t="str">
        <f aca="false">C55&amp;"|"&amp;D55</f>
        <v>message-board|interactive</v>
      </c>
      <c r="O55" s="6" t="n">
        <f aca="false">IF(G55="finished",0,1)</f>
        <v>1</v>
      </c>
      <c r="P55" s="6" t="str">
        <f aca="false">IF(O55=0,LN(H55),"")</f>
        <v/>
      </c>
      <c r="Q55" s="6" t="n">
        <f aca="false">IF(ISNUMBER(K55),IF(K55&gt;0,LN(K55),""),"")</f>
        <v>6.00758392898787</v>
      </c>
      <c r="R55" s="6" t="n">
        <f aca="false">IF(M55=1,INDEX(Quality!$AF:$AF,MATCH(A55,Quality!$A:$A,0)),"")</f>
        <v>92.59</v>
      </c>
      <c r="S55" s="6" t="n">
        <f aca="false">IF(R55="","",IF(T55=1,0,R55))</f>
        <v>92.59</v>
      </c>
      <c r="T55" s="6" t="n">
        <f aca="false">IF(M55=1,INDEX(Quality!$AG:$AG,MATCH(A55,Quality!$A:$A,0)),0)</f>
        <v>0</v>
      </c>
      <c r="U55" s="6" t="n">
        <f aca="false">IF(M55=1,INDEX(Quality!$AS:$AS,MATCH(A55,Quality!$A:$A,0)),"")</f>
        <v>0.75</v>
      </c>
      <c r="V55" s="9" t="n">
        <v>1</v>
      </c>
      <c r="W55" s="9"/>
      <c r="X55" s="9" t="n">
        <v>6.00758</v>
      </c>
      <c r="Y55" s="9" t="n">
        <v>92.59</v>
      </c>
      <c r="Z55" s="9" t="n">
        <v>0</v>
      </c>
      <c r="AA55" s="9" t="n">
        <v>0.75</v>
      </c>
      <c r="AB55" s="9" t="s">
        <v>131</v>
      </c>
      <c r="AC55" s="9" t="n">
        <v>70</v>
      </c>
      <c r="AD55" s="9" t="n">
        <v>0.828571428571429</v>
      </c>
      <c r="AE55" s="9" t="n">
        <v>406.5</v>
      </c>
      <c r="AF55" s="9" t="n">
        <v>0</v>
      </c>
      <c r="AG55" s="9" t="n">
        <v>0</v>
      </c>
      <c r="AH55" s="6" t="str">
        <f aca="false">IF(AND(G55=AB55,IF(AND(ISNUMBER(H55),ISNUMBER(AC55)),ABS(N(H55)-N(AC55))&lt;=Settings!$B$9*MAX(1,ABS(N(AC55))),AND(H55="",AC55="")),IF(AND(ISNUMBER(J55),ISNUMBER(AD55)),ABS(N(J55)-N(AD55))&lt;=Settings!$B$9*MAX(1,ABS(N(AD55))),AND(J55="",AD55="")),IF(AND(ISNUMBER(K55),ISNUMBER(AE55)),ABS(N(K55)-N(AE55))&lt;=Settings!$B$9*MAX(1,ABS(N(AE55))),AND(K55="",AE55="")),L55=AF55,I55=AG55),"ok","CHECK")</f>
        <v>ok</v>
      </c>
      <c r="AI55" s="6" t="str">
        <f aca="false">IF(AND(IF(AND(ISNUMBER(O55),ISNUMBER(V55)),ABS(N(O55)-N(V55))&lt;=Settings!$B$9*MAX(1,ABS(N(V55))),AND(O55="",V55="")),IF(AND(ISNUMBER(P55),ISNUMBER(W55)),ABS(N(P55)-N(W55))&lt;=Settings!$B$9*MAX(1,ABS(N(W55))),AND(P55="",W55="")),IF(AND(ISNUMBER(Q55),ISNUMBER(X55)),ABS(N(Q55)-N(X55))&lt;=Settings!$B$9*MAX(1,ABS(N(X55))),AND(Q55="",X55="")),IF(AND(ISNUMBER(R55),ISNUMBER(Y55)),ABS(N(R55)-N(Y55))&lt;=Settings!$B$9*MAX(1,ABS(N(Y55))),AND(R55="",Y55="")),T55=Z55,IF(AND(ISNUMBER(U55),ISNUMBER(AA55)),ABS(N(U55)-N(AA55))&lt;=Settings!$B$9*MAX(1,ABS(N(AA55))),AND(U55="",AA55=""))),"ok","CHECK")</f>
        <v>ok</v>
      </c>
      <c r="AJ55" s="2"/>
      <c r="AK55" s="6" t="n">
        <f aca="false">IF(ISNUMBER(P55),1,0)</f>
        <v>0</v>
      </c>
      <c r="AL55" s="6" t="n">
        <f aca="false">COUNTIFS(Runs!$B$2:$B$61,B55,Runs!$E$2:$E$61,E55,Runs!$N$2:$N$61,N55,Runs!$AK$2:$AK$61,1)</f>
        <v>1</v>
      </c>
      <c r="AM55" s="6" t="str">
        <f aca="false">IF(AK55=1,AVERAGEIFS(Runs!$P$2:$P$61,Runs!$B$2:$B$61,B55,Runs!$E$2:$E$61,E55,Runs!$N$2:$N$61,N55,Runs!$AK$2:$AK$61,1),"")</f>
        <v/>
      </c>
      <c r="AN55" s="6" t="n">
        <f aca="false">IF(AK55=1,IF(AL55&gt;1,(P55-AM55)^2*AL55/(AL55-1),0),0)</f>
        <v>0</v>
      </c>
      <c r="AO55" s="6" t="n">
        <f aca="false">IF(ISNUMBER(R55),1,0)</f>
        <v>1</v>
      </c>
      <c r="AP55" s="6" t="n">
        <f aca="false">COUNTIFS(Runs!$B$2:$B$61,B55,Runs!$E$2:$E$61,E55,Runs!$N$2:$N$61,N55,Runs!$AO$2:$AO$61,1)</f>
        <v>2</v>
      </c>
      <c r="AQ55" s="6" t="n">
        <f aca="false">IF(AO55=1,AVERAGEIFS(Runs!$R$2:$R$61,Runs!$B$2:$B$61,B55,Runs!$E$2:$E$61,E55,Runs!$N$2:$N$61,N55,Runs!$AO$2:$AO$61,1),"")</f>
        <v>92.59</v>
      </c>
      <c r="AR55" s="6" t="n">
        <f aca="false">IF(AO55=1,IF(AP55&gt;1,(R55-AQ55)^2*AP55/(AP55-1),0),0)</f>
        <v>0</v>
      </c>
      <c r="AS55" s="6" t="n">
        <f aca="false">IF(ISNUMBER(J55),1,0)</f>
        <v>1</v>
      </c>
      <c r="AT55" s="6" t="n">
        <f aca="false">COUNTIFS(Runs!$B$2:$B$61,B55,Runs!$E$2:$E$61,E55,Runs!$N$2:$N$61,N55,Runs!$AS$2:$AS$61,1)</f>
        <v>2</v>
      </c>
      <c r="AU55" s="6" t="n">
        <f aca="false">IF(AS55=1,AVERAGEIFS(Runs!$J$2:$J$61,Runs!$B$2:$B$61,B55,Runs!$E$2:$E$61,E55,Runs!$N$2:$N$61,N55,Runs!$AS$2:$AS$61,1),"")</f>
        <v>0.7714285</v>
      </c>
      <c r="AV55" s="6" t="n">
        <f aca="false">IF(AS55=1,IF(AT55&gt;1,(J55-AU55)^2*AT55/(AT55-1),0),0)</f>
        <v>0.0065305306125</v>
      </c>
      <c r="AW55" s="6" t="n">
        <f aca="false">IF(ISNUMBER(Q55),1,0)</f>
        <v>1</v>
      </c>
      <c r="AX55" s="6" t="n">
        <f aca="false">COUNTIFS(Runs!$B$2:$B$61,B55,Runs!$E$2:$E$61,E55,Runs!$N$2:$N$61,N55,Runs!$AW$2:$AW$61,1)</f>
        <v>2</v>
      </c>
      <c r="AY55" s="6" t="n">
        <f aca="false">IF(AW55=1,AVERAGEIFS(Runs!$Q$2:$Q$61,Runs!$B$2:$B$61,B55,Runs!$E$2:$E$61,E55,Runs!$N$2:$N$61,N55,Runs!$AW$2:$AW$61,1),"")</f>
        <v>6.04831440221736</v>
      </c>
      <c r="AZ55" s="6" t="n">
        <f aca="false">IF(AW55=1,IF(AX55&gt;1,(Q55-AY55)^2*AX55/(AX55-1),0),0)</f>
        <v>0.00331794289899643</v>
      </c>
    </row>
    <row r="56" customFormat="false" ht="15" hidden="false" customHeight="false" outlineLevel="0" collapsed="false">
      <c r="A56" s="9" t="s">
        <v>175</v>
      </c>
      <c r="B56" s="9" t="s">
        <v>156</v>
      </c>
      <c r="C56" s="9" t="s">
        <v>135</v>
      </c>
      <c r="D56" s="9" t="s">
        <v>118</v>
      </c>
      <c r="E56" s="9" t="s">
        <v>115</v>
      </c>
      <c r="F56" s="9" t="n">
        <v>1</v>
      </c>
      <c r="G56" s="9" t="s">
        <v>108</v>
      </c>
      <c r="H56" s="9" t="n">
        <v>32</v>
      </c>
      <c r="I56" s="9" t="n">
        <v>0</v>
      </c>
      <c r="J56" s="9" t="n">
        <v>1</v>
      </c>
      <c r="K56" s="9" t="n">
        <v>146</v>
      </c>
      <c r="L56" s="9" t="n">
        <v>0</v>
      </c>
      <c r="M56" s="9" t="n">
        <v>1</v>
      </c>
      <c r="N56" s="6" t="str">
        <f aca="false">C56&amp;"|"&amp;D56</f>
        <v>message-board|interactive</v>
      </c>
      <c r="O56" s="6" t="n">
        <f aca="false">IF(G56="finished",0,1)</f>
        <v>0</v>
      </c>
      <c r="P56" s="6" t="n">
        <f aca="false">IF(O56=0,LN(H56),"")</f>
        <v>3.46573590279973</v>
      </c>
      <c r="Q56" s="6" t="n">
        <f aca="false">IF(ISNUMBER(K56),IF(K56&gt;0,LN(K56),""),"")</f>
        <v>4.98360662170834</v>
      </c>
      <c r="R56" s="6" t="n">
        <f aca="false">IF(M56=1,INDEX(Quality!$AF:$AF,MATCH(A56,Quality!$A:$A,0)),"")</f>
        <v>3.7</v>
      </c>
      <c r="S56" s="6" t="n">
        <f aca="false">IF(R56="","",IF(T56=1,0,R56))</f>
        <v>3.7</v>
      </c>
      <c r="T56" s="6" t="n">
        <f aca="false">IF(M56=1,INDEX(Quality!$AG:$AG,MATCH(A56,Quality!$A:$A,0)),0)</f>
        <v>0</v>
      </c>
      <c r="U56" s="6" t="n">
        <f aca="false">IF(M56=1,INDEX(Quality!$AS:$AS,MATCH(A56,Quality!$A:$A,0)),"")</f>
        <v>0.5</v>
      </c>
      <c r="V56" s="9" t="n">
        <v>0</v>
      </c>
      <c r="W56" s="9" t="n">
        <v>3.46574</v>
      </c>
      <c r="X56" s="9" t="n">
        <v>4.98361</v>
      </c>
      <c r="Y56" s="9" t="n">
        <v>3.7</v>
      </c>
      <c r="Z56" s="9" t="n">
        <v>0</v>
      </c>
      <c r="AA56" s="9" t="n">
        <v>0.5</v>
      </c>
      <c r="AB56" s="9" t="s">
        <v>108</v>
      </c>
      <c r="AC56" s="9" t="n">
        <v>32</v>
      </c>
      <c r="AD56" s="9" t="n">
        <v>1</v>
      </c>
      <c r="AE56" s="9" t="n">
        <v>146</v>
      </c>
      <c r="AF56" s="9" t="n">
        <v>0</v>
      </c>
      <c r="AG56" s="9" t="n">
        <v>0</v>
      </c>
      <c r="AH56" s="6" t="str">
        <f aca="false">IF(AND(G56=AB56,IF(AND(ISNUMBER(H56),ISNUMBER(AC56)),ABS(N(H56)-N(AC56))&lt;=Settings!$B$9*MAX(1,ABS(N(AC56))),AND(H56="",AC56="")),IF(AND(ISNUMBER(J56),ISNUMBER(AD56)),ABS(N(J56)-N(AD56))&lt;=Settings!$B$9*MAX(1,ABS(N(AD56))),AND(J56="",AD56="")),IF(AND(ISNUMBER(K56),ISNUMBER(AE56)),ABS(N(K56)-N(AE56))&lt;=Settings!$B$9*MAX(1,ABS(N(AE56))),AND(K56="",AE56="")),L56=AF56,I56=AG56),"ok","CHECK")</f>
        <v>ok</v>
      </c>
      <c r="AI56" s="6" t="str">
        <f aca="false">IF(AND(IF(AND(ISNUMBER(O56),ISNUMBER(V56)),ABS(N(O56)-N(V56))&lt;=Settings!$B$9*MAX(1,ABS(N(V56))),AND(O56="",V56="")),IF(AND(ISNUMBER(P56),ISNUMBER(W56)),ABS(N(P56)-N(W56))&lt;=Settings!$B$9*MAX(1,ABS(N(W56))),AND(P56="",W56="")),IF(AND(ISNUMBER(Q56),ISNUMBER(X56)),ABS(N(Q56)-N(X56))&lt;=Settings!$B$9*MAX(1,ABS(N(X56))),AND(Q56="",X56="")),IF(AND(ISNUMBER(R56),ISNUMBER(Y56)),ABS(N(R56)-N(Y56))&lt;=Settings!$B$9*MAX(1,ABS(N(Y56))),AND(R56="",Y56="")),T56=Z56,IF(AND(ISNUMBER(U56),ISNUMBER(AA56)),ABS(N(U56)-N(AA56))&lt;=Settings!$B$9*MAX(1,ABS(N(AA56))),AND(U56="",AA56=""))),"ok","CHECK")</f>
        <v>ok</v>
      </c>
      <c r="AJ56" s="2"/>
      <c r="AK56" s="6" t="n">
        <f aca="false">IF(ISNUMBER(P56),1,0)</f>
        <v>1</v>
      </c>
      <c r="AL56" s="6" t="n">
        <f aca="false">COUNTIFS(Runs!$B$2:$B$61,B56,Runs!$E$2:$E$61,E56,Runs!$N$2:$N$61,N56,Runs!$AK$2:$AK$61,1)</f>
        <v>2</v>
      </c>
      <c r="AM56" s="6" t="n">
        <f aca="false">IF(AK56=1,AVERAGEIFS(Runs!$P$2:$P$61,Runs!$B$2:$B$61,B56,Runs!$E$2:$E$61,E56,Runs!$N$2:$N$61,N56,Runs!$AK$2:$AK$61,1),"")</f>
        <v>3.75439358531714</v>
      </c>
      <c r="AN56" s="6" t="n">
        <f aca="false">IF(AK56=1,IF(AL56&gt;1,(P56-AM56)^2*AL56/(AL56-1),0),0)</f>
        <v>0.166646515352646</v>
      </c>
      <c r="AO56" s="6" t="n">
        <f aca="false">IF(ISNUMBER(R56),1,0)</f>
        <v>1</v>
      </c>
      <c r="AP56" s="6" t="n">
        <f aca="false">COUNTIFS(Runs!$B$2:$B$61,B56,Runs!$E$2:$E$61,E56,Runs!$N$2:$N$61,N56,Runs!$AO$2:$AO$61,1)</f>
        <v>2</v>
      </c>
      <c r="AQ56" s="6" t="n">
        <f aca="false">IF(AO56=1,AVERAGEIFS(Runs!$R$2:$R$61,Runs!$B$2:$B$61,B56,Runs!$E$2:$E$61,E56,Runs!$N$2:$N$61,N56,Runs!$AO$2:$AO$61,1),"")</f>
        <v>46.295</v>
      </c>
      <c r="AR56" s="6" t="n">
        <f aca="false">IF(AO56=1,IF(AP56&gt;1,(R56-AQ56)^2*AP56/(AP56-1),0),0)</f>
        <v>3628.66805</v>
      </c>
      <c r="AS56" s="6" t="n">
        <f aca="false">IF(ISNUMBER(J56),1,0)</f>
        <v>1</v>
      </c>
      <c r="AT56" s="6" t="n">
        <f aca="false">COUNTIFS(Runs!$B$2:$B$61,B56,Runs!$E$2:$E$61,E56,Runs!$N$2:$N$61,N56,Runs!$AS$2:$AS$61,1)</f>
        <v>2</v>
      </c>
      <c r="AU56" s="6" t="n">
        <f aca="false">IF(AS56=1,AVERAGEIFS(Runs!$J$2:$J$61,Runs!$B$2:$B$61,B56,Runs!$E$2:$E$61,E56,Runs!$N$2:$N$61,N56,Runs!$AS$2:$AS$61,1),"")</f>
        <v>1</v>
      </c>
      <c r="AV56" s="6" t="n">
        <f aca="false">IF(AS56=1,IF(AT56&gt;1,(J56-AU56)^2*AT56/(AT56-1),0),0)</f>
        <v>0</v>
      </c>
      <c r="AW56" s="6" t="n">
        <f aca="false">IF(ISNUMBER(Q56),1,0)</f>
        <v>1</v>
      </c>
      <c r="AX56" s="6" t="n">
        <f aca="false">COUNTIFS(Runs!$B$2:$B$61,B56,Runs!$E$2:$E$61,E56,Runs!$N$2:$N$61,N56,Runs!$AW$2:$AW$61,1)</f>
        <v>2</v>
      </c>
      <c r="AY56" s="6" t="n">
        <f aca="false">IF(AW56=1,AVERAGEIFS(Runs!$Q$2:$Q$61,Runs!$B$2:$B$61,B56,Runs!$E$2:$E$61,E56,Runs!$N$2:$N$61,N56,Runs!$AW$2:$AW$61,1),"")</f>
        <v>5.04779720503244</v>
      </c>
      <c r="AZ56" s="6" t="n">
        <f aca="false">IF(AW56=1,IF(AX56&gt;1,(Q56-AY56)^2*AX56/(AX56-1),0),0)</f>
        <v>0.00824086197497739</v>
      </c>
    </row>
    <row r="57" customFormat="false" ht="15" hidden="false" customHeight="false" outlineLevel="0" collapsed="false">
      <c r="A57" s="9" t="s">
        <v>176</v>
      </c>
      <c r="B57" s="9" t="s">
        <v>156</v>
      </c>
      <c r="C57" s="9" t="s">
        <v>135</v>
      </c>
      <c r="D57" s="9" t="s">
        <v>118</v>
      </c>
      <c r="E57" s="9" t="s">
        <v>115</v>
      </c>
      <c r="F57" s="9" t="n">
        <v>2</v>
      </c>
      <c r="G57" s="9" t="s">
        <v>108</v>
      </c>
      <c r="H57" s="9" t="n">
        <v>57</v>
      </c>
      <c r="I57" s="9" t="n">
        <v>0</v>
      </c>
      <c r="J57" s="9" t="n">
        <v>1</v>
      </c>
      <c r="K57" s="9" t="n">
        <v>166</v>
      </c>
      <c r="L57" s="9" t="n">
        <v>0</v>
      </c>
      <c r="M57" s="9" t="n">
        <v>1</v>
      </c>
      <c r="N57" s="6" t="str">
        <f aca="false">C57&amp;"|"&amp;D57</f>
        <v>message-board|interactive</v>
      </c>
      <c r="O57" s="6" t="n">
        <f aca="false">IF(G57="finished",0,1)</f>
        <v>0</v>
      </c>
      <c r="P57" s="6" t="n">
        <f aca="false">IF(O57=0,LN(H57),"")</f>
        <v>4.04305126783455</v>
      </c>
      <c r="Q57" s="6" t="n">
        <f aca="false">IF(ISNUMBER(K57),IF(K57&gt;0,LN(K57),""),"")</f>
        <v>5.11198778835654</v>
      </c>
      <c r="R57" s="6" t="n">
        <f aca="false">IF(M57=1,INDEX(Quality!$AF:$AF,MATCH(A57,Quality!$A:$A,0)),"")</f>
        <v>88.89</v>
      </c>
      <c r="S57" s="6" t="n">
        <f aca="false">IF(R57="","",IF(T57=1,0,R57))</f>
        <v>88.89</v>
      </c>
      <c r="T57" s="6" t="n">
        <f aca="false">IF(M57=1,INDEX(Quality!$AG:$AG,MATCH(A57,Quality!$A:$A,0)),0)</f>
        <v>0</v>
      </c>
      <c r="U57" s="6" t="n">
        <f aca="false">IF(M57=1,INDEX(Quality!$AS:$AS,MATCH(A57,Quality!$A:$A,0)),"")</f>
        <v>1</v>
      </c>
      <c r="V57" s="9" t="n">
        <v>0</v>
      </c>
      <c r="W57" s="9" t="n">
        <v>4.04305</v>
      </c>
      <c r="X57" s="9" t="n">
        <v>5.11199</v>
      </c>
      <c r="Y57" s="9" t="n">
        <v>88.89</v>
      </c>
      <c r="Z57" s="9" t="n">
        <v>0</v>
      </c>
      <c r="AA57" s="9" t="n">
        <v>1</v>
      </c>
      <c r="AB57" s="9" t="s">
        <v>108</v>
      </c>
      <c r="AC57" s="9" t="n">
        <v>57</v>
      </c>
      <c r="AD57" s="9" t="n">
        <v>1</v>
      </c>
      <c r="AE57" s="9" t="n">
        <v>166</v>
      </c>
      <c r="AF57" s="9" t="n">
        <v>0</v>
      </c>
      <c r="AG57" s="9" t="n">
        <v>0</v>
      </c>
      <c r="AH57" s="6" t="str">
        <f aca="false">IF(AND(G57=AB57,IF(AND(ISNUMBER(H57),ISNUMBER(AC57)),ABS(N(H57)-N(AC57))&lt;=Settings!$B$9*MAX(1,ABS(N(AC57))),AND(H57="",AC57="")),IF(AND(ISNUMBER(J57),ISNUMBER(AD57)),ABS(N(J57)-N(AD57))&lt;=Settings!$B$9*MAX(1,ABS(N(AD57))),AND(J57="",AD57="")),IF(AND(ISNUMBER(K57),ISNUMBER(AE57)),ABS(N(K57)-N(AE57))&lt;=Settings!$B$9*MAX(1,ABS(N(AE57))),AND(K57="",AE57="")),L57=AF57,I57=AG57),"ok","CHECK")</f>
        <v>ok</v>
      </c>
      <c r="AI57" s="6" t="str">
        <f aca="false">IF(AND(IF(AND(ISNUMBER(O57),ISNUMBER(V57)),ABS(N(O57)-N(V57))&lt;=Settings!$B$9*MAX(1,ABS(N(V57))),AND(O57="",V57="")),IF(AND(ISNUMBER(P57),ISNUMBER(W57)),ABS(N(P57)-N(W57))&lt;=Settings!$B$9*MAX(1,ABS(N(W57))),AND(P57="",W57="")),IF(AND(ISNUMBER(Q57),ISNUMBER(X57)),ABS(N(Q57)-N(X57))&lt;=Settings!$B$9*MAX(1,ABS(N(X57))),AND(Q57="",X57="")),IF(AND(ISNUMBER(R57),ISNUMBER(Y57)),ABS(N(R57)-N(Y57))&lt;=Settings!$B$9*MAX(1,ABS(N(Y57))),AND(R57="",Y57="")),T57=Z57,IF(AND(ISNUMBER(U57),ISNUMBER(AA57)),ABS(N(U57)-N(AA57))&lt;=Settings!$B$9*MAX(1,ABS(N(AA57))),AND(U57="",AA57=""))),"ok","CHECK")</f>
        <v>ok</v>
      </c>
      <c r="AJ57" s="2"/>
      <c r="AK57" s="6" t="n">
        <f aca="false">IF(ISNUMBER(P57),1,0)</f>
        <v>1</v>
      </c>
      <c r="AL57" s="6" t="n">
        <f aca="false">COUNTIFS(Runs!$B$2:$B$61,B57,Runs!$E$2:$E$61,E57,Runs!$N$2:$N$61,N57,Runs!$AK$2:$AK$61,1)</f>
        <v>2</v>
      </c>
      <c r="AM57" s="6" t="n">
        <f aca="false">IF(AK57=1,AVERAGEIFS(Runs!$P$2:$P$61,Runs!$B$2:$B$61,B57,Runs!$E$2:$E$61,E57,Runs!$N$2:$N$61,N57,Runs!$AK$2:$AK$61,1),"")</f>
        <v>3.75439358531714</v>
      </c>
      <c r="AN57" s="6" t="n">
        <f aca="false">IF(AK57=1,IF(AL57&gt;1,(P57-AM57)^2*AL57/(AL57-1),0),0)</f>
        <v>0.166646515352646</v>
      </c>
      <c r="AO57" s="6" t="n">
        <f aca="false">IF(ISNUMBER(R57),1,0)</f>
        <v>1</v>
      </c>
      <c r="AP57" s="6" t="n">
        <f aca="false">COUNTIFS(Runs!$B$2:$B$61,B57,Runs!$E$2:$E$61,E57,Runs!$N$2:$N$61,N57,Runs!$AO$2:$AO$61,1)</f>
        <v>2</v>
      </c>
      <c r="AQ57" s="6" t="n">
        <f aca="false">IF(AO57=1,AVERAGEIFS(Runs!$R$2:$R$61,Runs!$B$2:$B$61,B57,Runs!$E$2:$E$61,E57,Runs!$N$2:$N$61,N57,Runs!$AO$2:$AO$61,1),"")</f>
        <v>46.295</v>
      </c>
      <c r="AR57" s="6" t="n">
        <f aca="false">IF(AO57=1,IF(AP57&gt;1,(R57-AQ57)^2*AP57/(AP57-1),0),0)</f>
        <v>3628.66805</v>
      </c>
      <c r="AS57" s="6" t="n">
        <f aca="false">IF(ISNUMBER(J57),1,0)</f>
        <v>1</v>
      </c>
      <c r="AT57" s="6" t="n">
        <f aca="false">COUNTIFS(Runs!$B$2:$B$61,B57,Runs!$E$2:$E$61,E57,Runs!$N$2:$N$61,N57,Runs!$AS$2:$AS$61,1)</f>
        <v>2</v>
      </c>
      <c r="AU57" s="6" t="n">
        <f aca="false">IF(AS57=1,AVERAGEIFS(Runs!$J$2:$J$61,Runs!$B$2:$B$61,B57,Runs!$E$2:$E$61,E57,Runs!$N$2:$N$61,N57,Runs!$AS$2:$AS$61,1),"")</f>
        <v>1</v>
      </c>
      <c r="AV57" s="6" t="n">
        <f aca="false">IF(AS57=1,IF(AT57&gt;1,(J57-AU57)^2*AT57/(AT57-1),0),0)</f>
        <v>0</v>
      </c>
      <c r="AW57" s="6" t="n">
        <f aca="false">IF(ISNUMBER(Q57),1,0)</f>
        <v>1</v>
      </c>
      <c r="AX57" s="6" t="n">
        <f aca="false">COUNTIFS(Runs!$B$2:$B$61,B57,Runs!$E$2:$E$61,E57,Runs!$N$2:$N$61,N57,Runs!$AW$2:$AW$61,1)</f>
        <v>2</v>
      </c>
      <c r="AY57" s="6" t="n">
        <f aca="false">IF(AW57=1,AVERAGEIFS(Runs!$Q$2:$Q$61,Runs!$B$2:$B$61,B57,Runs!$E$2:$E$61,E57,Runs!$N$2:$N$61,N57,Runs!$AW$2:$AW$61,1),"")</f>
        <v>5.04779720503244</v>
      </c>
      <c r="AZ57" s="6" t="n">
        <f aca="false">IF(AW57=1,IF(AX57&gt;1,(Q57-AY57)^2*AX57/(AX57-1),0),0)</f>
        <v>0.00824086197497739</v>
      </c>
    </row>
    <row r="58" customFormat="false" ht="15" hidden="false" customHeight="false" outlineLevel="0" collapsed="false">
      <c r="A58" s="9" t="s">
        <v>177</v>
      </c>
      <c r="B58" s="9" t="s">
        <v>156</v>
      </c>
      <c r="C58" s="9" t="s">
        <v>135</v>
      </c>
      <c r="D58" s="9" t="s">
        <v>126</v>
      </c>
      <c r="E58" s="9" t="s">
        <v>111</v>
      </c>
      <c r="F58" s="9" t="n">
        <v>1</v>
      </c>
      <c r="G58" s="9" t="s">
        <v>108</v>
      </c>
      <c r="H58" s="9" t="n">
        <v>93</v>
      </c>
      <c r="I58" s="9" t="n">
        <v>1</v>
      </c>
      <c r="J58" s="9" t="n">
        <v>0.698925</v>
      </c>
      <c r="K58" s="9" t="n">
        <v>356</v>
      </c>
      <c r="L58" s="9" t="n">
        <v>1</v>
      </c>
      <c r="M58" s="9" t="n">
        <v>1</v>
      </c>
      <c r="N58" s="6" t="str">
        <f aca="false">C58&amp;"|"&amp;D58</f>
        <v>message-board|no_verification</v>
      </c>
      <c r="O58" s="6" t="n">
        <f aca="false">IF(G58="finished",0,1)</f>
        <v>0</v>
      </c>
      <c r="P58" s="6" t="n">
        <f aca="false">IF(O58=0,LN(H58),"")</f>
        <v>4.53259949315326</v>
      </c>
      <c r="Q58" s="6" t="n">
        <f aca="false">IF(ISNUMBER(K58),IF(K58&gt;0,LN(K58),""),"")</f>
        <v>5.87493073085203</v>
      </c>
      <c r="R58" s="6" t="n">
        <f aca="false">IF(M58=1,INDEX(Quality!$AF:$AF,MATCH(A58,Quality!$A:$A,0)),"")</f>
        <v>25.93</v>
      </c>
      <c r="S58" s="6" t="n">
        <f aca="false">IF(R58="","",IF(T58=1,0,R58))</f>
        <v>25.93</v>
      </c>
      <c r="T58" s="6" t="n">
        <f aca="false">IF(M58=1,INDEX(Quality!$AG:$AG,MATCH(A58,Quality!$A:$A,0)),0)</f>
        <v>0</v>
      </c>
      <c r="U58" s="6" t="n">
        <f aca="false">IF(M58=1,INDEX(Quality!$AS:$AS,MATCH(A58,Quality!$A:$A,0)),"")</f>
        <v>1</v>
      </c>
      <c r="V58" s="9" t="n">
        <v>0</v>
      </c>
      <c r="W58" s="9" t="n">
        <v>4.5326</v>
      </c>
      <c r="X58" s="9" t="n">
        <v>5.87493</v>
      </c>
      <c r="Y58" s="9" t="n">
        <v>25.93</v>
      </c>
      <c r="Z58" s="9" t="n">
        <v>0</v>
      </c>
      <c r="AA58" s="9" t="n">
        <v>1</v>
      </c>
      <c r="AB58" s="9" t="s">
        <v>108</v>
      </c>
      <c r="AC58" s="9" t="n">
        <v>93</v>
      </c>
      <c r="AD58" s="9" t="n">
        <v>0.698924731182796</v>
      </c>
      <c r="AE58" s="9" t="n">
        <v>356</v>
      </c>
      <c r="AF58" s="9" t="n">
        <v>1</v>
      </c>
      <c r="AG58" s="9" t="n">
        <v>1</v>
      </c>
      <c r="AH58" s="6" t="str">
        <f aca="false">IF(AND(G58=AB58,IF(AND(ISNUMBER(H58),ISNUMBER(AC58)),ABS(N(H58)-N(AC58))&lt;=Settings!$B$9*MAX(1,ABS(N(AC58))),AND(H58="",AC58="")),IF(AND(ISNUMBER(J58),ISNUMBER(AD58)),ABS(N(J58)-N(AD58))&lt;=Settings!$B$9*MAX(1,ABS(N(AD58))),AND(J58="",AD58="")),IF(AND(ISNUMBER(K58),ISNUMBER(AE58)),ABS(N(K58)-N(AE58))&lt;=Settings!$B$9*MAX(1,ABS(N(AE58))),AND(K58="",AE58="")),L58=AF58,I58=AG58),"ok","CHECK")</f>
        <v>ok</v>
      </c>
      <c r="AI58" s="6" t="str">
        <f aca="false">IF(AND(IF(AND(ISNUMBER(O58),ISNUMBER(V58)),ABS(N(O58)-N(V58))&lt;=Settings!$B$9*MAX(1,ABS(N(V58))),AND(O58="",V58="")),IF(AND(ISNUMBER(P58),ISNUMBER(W58)),ABS(N(P58)-N(W58))&lt;=Settings!$B$9*MAX(1,ABS(N(W58))),AND(P58="",W58="")),IF(AND(ISNUMBER(Q58),ISNUMBER(X58)),ABS(N(Q58)-N(X58))&lt;=Settings!$B$9*MAX(1,ABS(N(X58))),AND(Q58="",X58="")),IF(AND(ISNUMBER(R58),ISNUMBER(Y58)),ABS(N(R58)-N(Y58))&lt;=Settings!$B$9*MAX(1,ABS(N(Y58))),AND(R58="",Y58="")),T58=Z58,IF(AND(ISNUMBER(U58),ISNUMBER(AA58)),ABS(N(U58)-N(AA58))&lt;=Settings!$B$9*MAX(1,ABS(N(AA58))),AND(U58="",AA58=""))),"ok","CHECK")</f>
        <v>ok</v>
      </c>
      <c r="AJ58" s="2"/>
      <c r="AK58" s="6" t="n">
        <f aca="false">IF(ISNUMBER(P58),1,0)</f>
        <v>1</v>
      </c>
      <c r="AL58" s="6" t="n">
        <f aca="false">COUNTIFS(Runs!$B$2:$B$61,B58,Runs!$E$2:$E$61,E58,Runs!$N$2:$N$61,N58,Runs!$AK$2:$AK$61,1)</f>
        <v>2</v>
      </c>
      <c r="AM58" s="6" t="n">
        <f aca="false">IF(AK58=1,AVERAGEIFS(Runs!$P$2:$P$61,Runs!$B$2:$B$61,B58,Runs!$E$2:$E$61,E58,Runs!$N$2:$N$61,N58,Runs!$AK$2:$AK$61,1),"")</f>
        <v>4.36864605627211</v>
      </c>
      <c r="AN58" s="6" t="n">
        <f aca="false">IF(AK58=1,IF(AL58&gt;1,(P58-AM58)^2*AL58/(AL58-1),0),0)</f>
        <v>0.0537614589302797</v>
      </c>
      <c r="AO58" s="6" t="n">
        <f aca="false">IF(ISNUMBER(R58),1,0)</f>
        <v>1</v>
      </c>
      <c r="AP58" s="6" t="n">
        <f aca="false">COUNTIFS(Runs!$B$2:$B$61,B58,Runs!$E$2:$E$61,E58,Runs!$N$2:$N$61,N58,Runs!$AO$2:$AO$61,1)</f>
        <v>2</v>
      </c>
      <c r="AQ58" s="6" t="n">
        <f aca="false">IF(AO58=1,AVERAGEIFS(Runs!$R$2:$R$61,Runs!$B$2:$B$61,B58,Runs!$E$2:$E$61,E58,Runs!$N$2:$N$61,N58,Runs!$AO$2:$AO$61,1),"")</f>
        <v>61.115</v>
      </c>
      <c r="AR58" s="6" t="n">
        <f aca="false">IF(AO58=1,IF(AP58&gt;1,(R58-AQ58)^2*AP58/(AP58-1),0),0)</f>
        <v>2475.96845</v>
      </c>
      <c r="AS58" s="6" t="n">
        <f aca="false">IF(ISNUMBER(J58),1,0)</f>
        <v>1</v>
      </c>
      <c r="AT58" s="6" t="n">
        <f aca="false">COUNTIFS(Runs!$B$2:$B$61,B58,Runs!$E$2:$E$61,E58,Runs!$N$2:$N$61,N58,Runs!$AS$2:$AS$61,1)</f>
        <v>2</v>
      </c>
      <c r="AU58" s="6" t="n">
        <f aca="false">IF(AS58=1,AVERAGEIFS(Runs!$J$2:$J$61,Runs!$B$2:$B$61,B58,Runs!$E$2:$E$61,E58,Runs!$N$2:$N$61,N58,Runs!$AS$2:$AS$61,1),"")</f>
        <v>0.692746</v>
      </c>
      <c r="AV58" s="6" t="n">
        <f aca="false">IF(AS58=1,IF(AT58&gt;1,(J58-AU58)^2*AT58/(AT58-1),0),0)</f>
        <v>7.63600819999984E-005</v>
      </c>
      <c r="AW58" s="6" t="n">
        <f aca="false">IF(ISNUMBER(Q58),1,0)</f>
        <v>1</v>
      </c>
      <c r="AX58" s="6" t="n">
        <f aca="false">COUNTIFS(Runs!$B$2:$B$61,B58,Runs!$E$2:$E$61,E58,Runs!$N$2:$N$61,N58,Runs!$AW$2:$AW$61,1)</f>
        <v>2</v>
      </c>
      <c r="AY58" s="6" t="n">
        <f aca="false">IF(AW58=1,AVERAGEIFS(Runs!$Q$2:$Q$61,Runs!$B$2:$B$61,B58,Runs!$E$2:$E$61,E58,Runs!$N$2:$N$61,N58,Runs!$AW$2:$AW$61,1),"")</f>
        <v>6.03005500929171</v>
      </c>
      <c r="AZ58" s="6" t="n">
        <f aca="false">IF(AW58=1,IF(AX58&gt;1,(Q58-AY58)^2*AX58/(AX58-1),0),0)</f>
        <v>0.0481270835228594</v>
      </c>
    </row>
    <row r="59" customFormat="false" ht="15" hidden="false" customHeight="false" outlineLevel="0" collapsed="false">
      <c r="A59" s="9" t="s">
        <v>178</v>
      </c>
      <c r="B59" s="9" t="s">
        <v>156</v>
      </c>
      <c r="C59" s="9" t="s">
        <v>135</v>
      </c>
      <c r="D59" s="9" t="s">
        <v>126</v>
      </c>
      <c r="E59" s="9" t="s">
        <v>111</v>
      </c>
      <c r="F59" s="9" t="n">
        <v>2</v>
      </c>
      <c r="G59" s="9" t="s">
        <v>108</v>
      </c>
      <c r="H59" s="9" t="n">
        <v>67</v>
      </c>
      <c r="I59" s="9" t="n">
        <v>0</v>
      </c>
      <c r="J59" s="9" t="n">
        <v>0.686567</v>
      </c>
      <c r="K59" s="9" t="n">
        <v>485.5</v>
      </c>
      <c r="L59" s="9" t="n">
        <v>1</v>
      </c>
      <c r="M59" s="9" t="n">
        <v>1</v>
      </c>
      <c r="N59" s="6" t="str">
        <f aca="false">C59&amp;"|"&amp;D59</f>
        <v>message-board|no_verification</v>
      </c>
      <c r="O59" s="6" t="n">
        <f aca="false">IF(G59="finished",0,1)</f>
        <v>0</v>
      </c>
      <c r="P59" s="6" t="n">
        <f aca="false">IF(O59=0,LN(H59),"")</f>
        <v>4.20469261939097</v>
      </c>
      <c r="Q59" s="6" t="n">
        <f aca="false">IF(ISNUMBER(K59),IF(K59&gt;0,LN(K59),""),"")</f>
        <v>6.18517928773138</v>
      </c>
      <c r="R59" s="6" t="n">
        <f aca="false">IF(M59=1,INDEX(Quality!$AF:$AF,MATCH(A59,Quality!$A:$A,0)),"")</f>
        <v>96.3</v>
      </c>
      <c r="S59" s="6" t="n">
        <f aca="false">IF(R59="","",IF(T59=1,0,R59))</f>
        <v>96.3</v>
      </c>
      <c r="T59" s="6" t="n">
        <f aca="false">IF(M59=1,INDEX(Quality!$AG:$AG,MATCH(A59,Quality!$A:$A,0)),0)</f>
        <v>0</v>
      </c>
      <c r="U59" s="6" t="n">
        <f aca="false">IF(M59=1,INDEX(Quality!$AS:$AS,MATCH(A59,Quality!$A:$A,0)),"")</f>
        <v>0.5</v>
      </c>
      <c r="V59" s="9" t="n">
        <v>0</v>
      </c>
      <c r="W59" s="9" t="n">
        <v>4.20469</v>
      </c>
      <c r="X59" s="9" t="n">
        <v>6.18518</v>
      </c>
      <c r="Y59" s="9" t="n">
        <v>96.3</v>
      </c>
      <c r="Z59" s="9" t="n">
        <v>0</v>
      </c>
      <c r="AA59" s="9" t="n">
        <v>0.5</v>
      </c>
      <c r="AB59" s="9" t="s">
        <v>108</v>
      </c>
      <c r="AC59" s="9" t="n">
        <v>67</v>
      </c>
      <c r="AD59" s="9" t="n">
        <v>0.686567164179105</v>
      </c>
      <c r="AE59" s="9" t="n">
        <v>485.5</v>
      </c>
      <c r="AF59" s="9" t="n">
        <v>1</v>
      </c>
      <c r="AG59" s="9" t="n">
        <v>0</v>
      </c>
      <c r="AH59" s="6" t="str">
        <f aca="false">IF(AND(G59=AB59,IF(AND(ISNUMBER(H59),ISNUMBER(AC59)),ABS(N(H59)-N(AC59))&lt;=Settings!$B$9*MAX(1,ABS(N(AC59))),AND(H59="",AC59="")),IF(AND(ISNUMBER(J59),ISNUMBER(AD59)),ABS(N(J59)-N(AD59))&lt;=Settings!$B$9*MAX(1,ABS(N(AD59))),AND(J59="",AD59="")),IF(AND(ISNUMBER(K59),ISNUMBER(AE59)),ABS(N(K59)-N(AE59))&lt;=Settings!$B$9*MAX(1,ABS(N(AE59))),AND(K59="",AE59="")),L59=AF59,I59=AG59),"ok","CHECK")</f>
        <v>ok</v>
      </c>
      <c r="AI59" s="6" t="str">
        <f aca="false">IF(AND(IF(AND(ISNUMBER(O59),ISNUMBER(V59)),ABS(N(O59)-N(V59))&lt;=Settings!$B$9*MAX(1,ABS(N(V59))),AND(O59="",V59="")),IF(AND(ISNUMBER(P59),ISNUMBER(W59)),ABS(N(P59)-N(W59))&lt;=Settings!$B$9*MAX(1,ABS(N(W59))),AND(P59="",W59="")),IF(AND(ISNUMBER(Q59),ISNUMBER(X59)),ABS(N(Q59)-N(X59))&lt;=Settings!$B$9*MAX(1,ABS(N(X59))),AND(Q59="",X59="")),IF(AND(ISNUMBER(R59),ISNUMBER(Y59)),ABS(N(R59)-N(Y59))&lt;=Settings!$B$9*MAX(1,ABS(N(Y59))),AND(R59="",Y59="")),T59=Z59,IF(AND(ISNUMBER(U59),ISNUMBER(AA59)),ABS(N(U59)-N(AA59))&lt;=Settings!$B$9*MAX(1,ABS(N(AA59))),AND(U59="",AA59=""))),"ok","CHECK")</f>
        <v>ok</v>
      </c>
      <c r="AJ59" s="2"/>
      <c r="AK59" s="6" t="n">
        <f aca="false">IF(ISNUMBER(P59),1,0)</f>
        <v>1</v>
      </c>
      <c r="AL59" s="6" t="n">
        <f aca="false">COUNTIFS(Runs!$B$2:$B$61,B59,Runs!$E$2:$E$61,E59,Runs!$N$2:$N$61,N59,Runs!$AK$2:$AK$61,1)</f>
        <v>2</v>
      </c>
      <c r="AM59" s="6" t="n">
        <f aca="false">IF(AK59=1,AVERAGEIFS(Runs!$P$2:$P$61,Runs!$B$2:$B$61,B59,Runs!$E$2:$E$61,E59,Runs!$N$2:$N$61,N59,Runs!$AK$2:$AK$61,1),"")</f>
        <v>4.36864605627211</v>
      </c>
      <c r="AN59" s="6" t="n">
        <f aca="false">IF(AK59=1,IF(AL59&gt;1,(P59-AM59)^2*AL59/(AL59-1),0),0)</f>
        <v>0.0537614589302791</v>
      </c>
      <c r="AO59" s="6" t="n">
        <f aca="false">IF(ISNUMBER(R59),1,0)</f>
        <v>1</v>
      </c>
      <c r="AP59" s="6" t="n">
        <f aca="false">COUNTIFS(Runs!$B$2:$B$61,B59,Runs!$E$2:$E$61,E59,Runs!$N$2:$N$61,N59,Runs!$AO$2:$AO$61,1)</f>
        <v>2</v>
      </c>
      <c r="AQ59" s="6" t="n">
        <f aca="false">IF(AO59=1,AVERAGEIFS(Runs!$R$2:$R$61,Runs!$B$2:$B$61,B59,Runs!$E$2:$E$61,E59,Runs!$N$2:$N$61,N59,Runs!$AO$2:$AO$61,1),"")</f>
        <v>61.115</v>
      </c>
      <c r="AR59" s="6" t="n">
        <f aca="false">IF(AO59=1,IF(AP59&gt;1,(R59-AQ59)^2*AP59/(AP59-1),0),0)</f>
        <v>2475.96845</v>
      </c>
      <c r="AS59" s="6" t="n">
        <f aca="false">IF(ISNUMBER(J59),1,0)</f>
        <v>1</v>
      </c>
      <c r="AT59" s="6" t="n">
        <f aca="false">COUNTIFS(Runs!$B$2:$B$61,B59,Runs!$E$2:$E$61,E59,Runs!$N$2:$N$61,N59,Runs!$AS$2:$AS$61,1)</f>
        <v>2</v>
      </c>
      <c r="AU59" s="6" t="n">
        <f aca="false">IF(AS59=1,AVERAGEIFS(Runs!$J$2:$J$61,Runs!$B$2:$B$61,B59,Runs!$E$2:$E$61,E59,Runs!$N$2:$N$61,N59,Runs!$AS$2:$AS$61,1),"")</f>
        <v>0.692746</v>
      </c>
      <c r="AV59" s="6" t="n">
        <f aca="false">IF(AS59=1,IF(AT59&gt;1,(J59-AU59)^2*AT59/(AT59-1),0),0)</f>
        <v>7.63600820000011E-005</v>
      </c>
      <c r="AW59" s="6" t="n">
        <f aca="false">IF(ISNUMBER(Q59),1,0)</f>
        <v>1</v>
      </c>
      <c r="AX59" s="6" t="n">
        <f aca="false">COUNTIFS(Runs!$B$2:$B$61,B59,Runs!$E$2:$E$61,E59,Runs!$N$2:$N$61,N59,Runs!$AW$2:$AW$61,1)</f>
        <v>2</v>
      </c>
      <c r="AY59" s="6" t="n">
        <f aca="false">IF(AW59=1,AVERAGEIFS(Runs!$Q$2:$Q$61,Runs!$B$2:$B$61,B59,Runs!$E$2:$E$61,E59,Runs!$N$2:$N$61,N59,Runs!$AW$2:$AW$61,1),"")</f>
        <v>6.03005500929171</v>
      </c>
      <c r="AZ59" s="6" t="n">
        <f aca="false">IF(AW59=1,IF(AX59&gt;1,(Q59-AY59)^2*AX59/(AX59-1),0),0)</f>
        <v>0.0481270835228594</v>
      </c>
    </row>
    <row r="60" customFormat="false" ht="15" hidden="false" customHeight="false" outlineLevel="0" collapsed="false">
      <c r="A60" s="9" t="s">
        <v>179</v>
      </c>
      <c r="B60" s="9" t="s">
        <v>156</v>
      </c>
      <c r="C60" s="9" t="s">
        <v>135</v>
      </c>
      <c r="D60" s="9" t="s">
        <v>126</v>
      </c>
      <c r="E60" s="9" t="s">
        <v>115</v>
      </c>
      <c r="F60" s="9" t="n">
        <v>1</v>
      </c>
      <c r="G60" s="9" t="s">
        <v>108</v>
      </c>
      <c r="H60" s="9" t="n">
        <v>38</v>
      </c>
      <c r="I60" s="9" t="n">
        <v>1</v>
      </c>
      <c r="J60" s="9" t="n">
        <v>0.947368</v>
      </c>
      <c r="K60" s="9" t="n">
        <v>163.5</v>
      </c>
      <c r="L60" s="9" t="n">
        <v>0</v>
      </c>
      <c r="M60" s="9" t="n">
        <v>1</v>
      </c>
      <c r="N60" s="6" t="str">
        <f aca="false">C60&amp;"|"&amp;D60</f>
        <v>message-board|no_verification</v>
      </c>
      <c r="O60" s="6" t="n">
        <f aca="false">IF(G60="finished",0,1)</f>
        <v>0</v>
      </c>
      <c r="P60" s="6" t="n">
        <f aca="false">IF(O60=0,LN(H60),"")</f>
        <v>3.63758615972639</v>
      </c>
      <c r="Q60" s="6" t="n">
        <f aca="false">IF(ISNUMBER(K60),IF(K60&gt;0,LN(K60),""),"")</f>
        <v>5.09681299033731</v>
      </c>
      <c r="R60" s="6" t="n">
        <f aca="false">IF(M60=1,INDEX(Quality!$AF:$AF,MATCH(A60,Quality!$A:$A,0)),"")</f>
        <v>92.59</v>
      </c>
      <c r="S60" s="6" t="n">
        <f aca="false">IF(R60="","",IF(T60=1,0,R60))</f>
        <v>92.59</v>
      </c>
      <c r="T60" s="6" t="n">
        <f aca="false">IF(M60=1,INDEX(Quality!$AG:$AG,MATCH(A60,Quality!$A:$A,0)),0)</f>
        <v>0</v>
      </c>
      <c r="U60" s="6" t="n">
        <f aca="false">IF(M60=1,INDEX(Quality!$AS:$AS,MATCH(A60,Quality!$A:$A,0)),"")</f>
        <v>0.5</v>
      </c>
      <c r="V60" s="9" t="n">
        <v>0</v>
      </c>
      <c r="W60" s="9" t="n">
        <v>3.63759</v>
      </c>
      <c r="X60" s="9" t="n">
        <v>5.09681</v>
      </c>
      <c r="Y60" s="9" t="n">
        <v>92.59</v>
      </c>
      <c r="Z60" s="9" t="n">
        <v>0</v>
      </c>
      <c r="AA60" s="9" t="n">
        <v>0.5</v>
      </c>
      <c r="AB60" s="9" t="s">
        <v>108</v>
      </c>
      <c r="AC60" s="9" t="n">
        <v>38</v>
      </c>
      <c r="AD60" s="9" t="n">
        <v>0.947368421052632</v>
      </c>
      <c r="AE60" s="9" t="n">
        <v>163.5</v>
      </c>
      <c r="AF60" s="9" t="n">
        <v>0</v>
      </c>
      <c r="AG60" s="9" t="n">
        <v>1</v>
      </c>
      <c r="AH60" s="6" t="str">
        <f aca="false">IF(AND(G60=AB60,IF(AND(ISNUMBER(H60),ISNUMBER(AC60)),ABS(N(H60)-N(AC60))&lt;=Settings!$B$9*MAX(1,ABS(N(AC60))),AND(H60="",AC60="")),IF(AND(ISNUMBER(J60),ISNUMBER(AD60)),ABS(N(J60)-N(AD60))&lt;=Settings!$B$9*MAX(1,ABS(N(AD60))),AND(J60="",AD60="")),IF(AND(ISNUMBER(K60),ISNUMBER(AE60)),ABS(N(K60)-N(AE60))&lt;=Settings!$B$9*MAX(1,ABS(N(AE60))),AND(K60="",AE60="")),L60=AF60,I60=AG60),"ok","CHECK")</f>
        <v>ok</v>
      </c>
      <c r="AI60" s="6" t="str">
        <f aca="false">IF(AND(IF(AND(ISNUMBER(O60),ISNUMBER(V60)),ABS(N(O60)-N(V60))&lt;=Settings!$B$9*MAX(1,ABS(N(V60))),AND(O60="",V60="")),IF(AND(ISNUMBER(P60),ISNUMBER(W60)),ABS(N(P60)-N(W60))&lt;=Settings!$B$9*MAX(1,ABS(N(W60))),AND(P60="",W60="")),IF(AND(ISNUMBER(Q60),ISNUMBER(X60)),ABS(N(Q60)-N(X60))&lt;=Settings!$B$9*MAX(1,ABS(N(X60))),AND(Q60="",X60="")),IF(AND(ISNUMBER(R60),ISNUMBER(Y60)),ABS(N(R60)-N(Y60))&lt;=Settings!$B$9*MAX(1,ABS(N(Y60))),AND(R60="",Y60="")),T60=Z60,IF(AND(ISNUMBER(U60),ISNUMBER(AA60)),ABS(N(U60)-N(AA60))&lt;=Settings!$B$9*MAX(1,ABS(N(AA60))),AND(U60="",AA60=""))),"ok","CHECK")</f>
        <v>ok</v>
      </c>
      <c r="AJ60" s="2"/>
      <c r="AK60" s="6" t="n">
        <f aca="false">IF(ISNUMBER(P60),1,0)</f>
        <v>1</v>
      </c>
      <c r="AL60" s="6" t="n">
        <f aca="false">COUNTIFS(Runs!$B$2:$B$61,B60,Runs!$E$2:$E$61,E60,Runs!$N$2:$N$61,N60,Runs!$AK$2:$AK$61,1)</f>
        <v>2</v>
      </c>
      <c r="AM60" s="6" t="n">
        <f aca="false">IF(AK60=1,AVERAGEIFS(Runs!$P$2:$P$61,Runs!$B$2:$B$61,B60,Runs!$E$2:$E$61,E60,Runs!$N$2:$N$61,N60,Runs!$AK$2:$AK$61,1),"")</f>
        <v>3.61055254909125</v>
      </c>
      <c r="AN60" s="6" t="n">
        <f aca="false">IF(AK60=1,IF(AL60&gt;1,(P60-AM60)^2*AL60/(AL60-1),0),0)</f>
        <v>0.00146163220794448</v>
      </c>
      <c r="AO60" s="6" t="n">
        <f aca="false">IF(ISNUMBER(R60),1,0)</f>
        <v>1</v>
      </c>
      <c r="AP60" s="6" t="n">
        <f aca="false">COUNTIFS(Runs!$B$2:$B$61,B60,Runs!$E$2:$E$61,E60,Runs!$N$2:$N$61,N60,Runs!$AO$2:$AO$61,1)</f>
        <v>2</v>
      </c>
      <c r="AQ60" s="6" t="n">
        <f aca="false">IF(AO60=1,AVERAGEIFS(Runs!$R$2:$R$61,Runs!$B$2:$B$61,B60,Runs!$E$2:$E$61,E60,Runs!$N$2:$N$61,N60,Runs!$AO$2:$AO$61,1),"")</f>
        <v>96.295</v>
      </c>
      <c r="AR60" s="6" t="n">
        <f aca="false">IF(AO60=1,IF(AP60&gt;1,(R60-AQ60)^2*AP60/(AP60-1),0),0)</f>
        <v>27.45405</v>
      </c>
      <c r="AS60" s="6" t="n">
        <f aca="false">IF(ISNUMBER(J60),1,0)</f>
        <v>1</v>
      </c>
      <c r="AT60" s="6" t="n">
        <f aca="false">COUNTIFS(Runs!$B$2:$B$61,B60,Runs!$E$2:$E$61,E60,Runs!$N$2:$N$61,N60,Runs!$AS$2:$AS$61,1)</f>
        <v>2</v>
      </c>
      <c r="AU60" s="6" t="n">
        <f aca="false">IF(AS60=1,AVERAGEIFS(Runs!$J$2:$J$61,Runs!$B$2:$B$61,B60,Runs!$E$2:$E$61,E60,Runs!$N$2:$N$61,N60,Runs!$AS$2:$AS$61,1),"")</f>
        <v>0.973684</v>
      </c>
      <c r="AV60" s="6" t="n">
        <f aca="false">IF(AS60=1,IF(AT60&gt;1,(J60-AU60)^2*AT60/(AT60-1),0),0)</f>
        <v>0.001385063712</v>
      </c>
      <c r="AW60" s="6" t="n">
        <f aca="false">IF(ISNUMBER(Q60),1,0)</f>
        <v>1</v>
      </c>
      <c r="AX60" s="6" t="n">
        <f aca="false">COUNTIFS(Runs!$B$2:$B$61,B60,Runs!$E$2:$E$61,E60,Runs!$N$2:$N$61,N60,Runs!$AW$2:$AW$61,1)</f>
        <v>2</v>
      </c>
      <c r="AY60" s="6" t="n">
        <f aca="false">IF(AW60=1,AVERAGEIFS(Runs!$Q$2:$Q$61,Runs!$B$2:$B$61,B60,Runs!$E$2:$E$61,E60,Runs!$N$2:$N$61,N60,Runs!$AW$2:$AW$61,1),"")</f>
        <v>5.0350462489449</v>
      </c>
      <c r="AZ60" s="6" t="n">
        <f aca="false">IF(AW60=1,IF(AX60&gt;1,(Q60-AY60)^2*AX60/(AX60-1),0),0)</f>
        <v>0.00763026068447374</v>
      </c>
    </row>
    <row r="61" customFormat="false" ht="15" hidden="false" customHeight="false" outlineLevel="0" collapsed="false">
      <c r="A61" s="9" t="s">
        <v>180</v>
      </c>
      <c r="B61" s="9" t="s">
        <v>156</v>
      </c>
      <c r="C61" s="9" t="s">
        <v>135</v>
      </c>
      <c r="D61" s="9" t="s">
        <v>126</v>
      </c>
      <c r="E61" s="9" t="s">
        <v>115</v>
      </c>
      <c r="F61" s="9" t="n">
        <v>2</v>
      </c>
      <c r="G61" s="9" t="s">
        <v>108</v>
      </c>
      <c r="H61" s="9" t="n">
        <v>36</v>
      </c>
      <c r="I61" s="9" t="n">
        <v>0</v>
      </c>
      <c r="J61" s="9" t="n">
        <v>1</v>
      </c>
      <c r="K61" s="9" t="n">
        <v>144.5</v>
      </c>
      <c r="L61" s="9" t="n">
        <v>0</v>
      </c>
      <c r="M61" s="9" t="n">
        <v>1</v>
      </c>
      <c r="N61" s="6" t="str">
        <f aca="false">C61&amp;"|"&amp;D61</f>
        <v>message-board|no_verification</v>
      </c>
      <c r="O61" s="6" t="n">
        <f aca="false">IF(G61="finished",0,1)</f>
        <v>0</v>
      </c>
      <c r="P61" s="6" t="n">
        <f aca="false">IF(O61=0,LN(H61),"")</f>
        <v>3.58351893845611</v>
      </c>
      <c r="Q61" s="6" t="n">
        <f aca="false">IF(ISNUMBER(K61),IF(K61&gt;0,LN(K61),""),"")</f>
        <v>4.97327950755249</v>
      </c>
      <c r="R61" s="6" t="n">
        <f aca="false">IF(M61=1,INDEX(Quality!$AF:$AF,MATCH(A61,Quality!$A:$A,0)),"")</f>
        <v>100</v>
      </c>
      <c r="S61" s="6" t="n">
        <f aca="false">IF(R61="","",IF(T61=1,0,R61))</f>
        <v>100</v>
      </c>
      <c r="T61" s="6" t="n">
        <f aca="false">IF(M61=1,INDEX(Quality!$AG:$AG,MATCH(A61,Quality!$A:$A,0)),0)</f>
        <v>0</v>
      </c>
      <c r="U61" s="6" t="n">
        <f aca="false">IF(M61=1,INDEX(Quality!$AS:$AS,MATCH(A61,Quality!$A:$A,0)),"")</f>
        <v>0.75</v>
      </c>
      <c r="V61" s="9" t="n">
        <v>0</v>
      </c>
      <c r="W61" s="9" t="n">
        <v>3.58352</v>
      </c>
      <c r="X61" s="9" t="n">
        <v>4.97328</v>
      </c>
      <c r="Y61" s="9" t="n">
        <v>100</v>
      </c>
      <c r="Z61" s="9" t="n">
        <v>0</v>
      </c>
      <c r="AA61" s="9" t="n">
        <v>0.75</v>
      </c>
      <c r="AB61" s="9" t="s">
        <v>108</v>
      </c>
      <c r="AC61" s="9" t="n">
        <v>36</v>
      </c>
      <c r="AD61" s="9" t="n">
        <v>1</v>
      </c>
      <c r="AE61" s="9" t="n">
        <v>144.5</v>
      </c>
      <c r="AF61" s="9" t="n">
        <v>0</v>
      </c>
      <c r="AG61" s="9" t="n">
        <v>0</v>
      </c>
      <c r="AH61" s="6" t="str">
        <f aca="false">IF(AND(G61=AB61,IF(AND(ISNUMBER(H61),ISNUMBER(AC61)),ABS(N(H61)-N(AC61))&lt;=Settings!$B$9*MAX(1,ABS(N(AC61))),AND(H61="",AC61="")),IF(AND(ISNUMBER(J61),ISNUMBER(AD61)),ABS(N(J61)-N(AD61))&lt;=Settings!$B$9*MAX(1,ABS(N(AD61))),AND(J61="",AD61="")),IF(AND(ISNUMBER(K61),ISNUMBER(AE61)),ABS(N(K61)-N(AE61))&lt;=Settings!$B$9*MAX(1,ABS(N(AE61))),AND(K61="",AE61="")),L61=AF61,I61=AG61),"ok","CHECK")</f>
        <v>ok</v>
      </c>
      <c r="AI61" s="6" t="str">
        <f aca="false">IF(AND(IF(AND(ISNUMBER(O61),ISNUMBER(V61)),ABS(N(O61)-N(V61))&lt;=Settings!$B$9*MAX(1,ABS(N(V61))),AND(O61="",V61="")),IF(AND(ISNUMBER(P61),ISNUMBER(W61)),ABS(N(P61)-N(W61))&lt;=Settings!$B$9*MAX(1,ABS(N(W61))),AND(P61="",W61="")),IF(AND(ISNUMBER(Q61),ISNUMBER(X61)),ABS(N(Q61)-N(X61))&lt;=Settings!$B$9*MAX(1,ABS(N(X61))),AND(Q61="",X61="")),IF(AND(ISNUMBER(R61),ISNUMBER(Y61)),ABS(N(R61)-N(Y61))&lt;=Settings!$B$9*MAX(1,ABS(N(Y61))),AND(R61="",Y61="")),T61=Z61,IF(AND(ISNUMBER(U61),ISNUMBER(AA61)),ABS(N(U61)-N(AA61))&lt;=Settings!$B$9*MAX(1,ABS(N(AA61))),AND(U61="",AA61=""))),"ok","CHECK")</f>
        <v>ok</v>
      </c>
      <c r="AJ61" s="2"/>
      <c r="AK61" s="6" t="n">
        <f aca="false">IF(ISNUMBER(P61),1,0)</f>
        <v>1</v>
      </c>
      <c r="AL61" s="6" t="n">
        <f aca="false">COUNTIFS(Runs!$B$2:$B$61,B61,Runs!$E$2:$E$61,E61,Runs!$N$2:$N$61,N61,Runs!$AK$2:$AK$61,1)</f>
        <v>2</v>
      </c>
      <c r="AM61" s="6" t="n">
        <f aca="false">IF(AK61=1,AVERAGEIFS(Runs!$P$2:$P$61,Runs!$B$2:$B$61,B61,Runs!$E$2:$E$61,E61,Runs!$N$2:$N$61,N61,Runs!$AK$2:$AK$61,1),"")</f>
        <v>3.61055254909125</v>
      </c>
      <c r="AN61" s="6" t="n">
        <f aca="false">IF(AK61=1,IF(AL61&gt;1,(P61-AM61)^2*AL61/(AL61-1),0),0)</f>
        <v>0.00146163220794448</v>
      </c>
      <c r="AO61" s="6" t="n">
        <f aca="false">IF(ISNUMBER(R61),1,0)</f>
        <v>1</v>
      </c>
      <c r="AP61" s="6" t="n">
        <f aca="false">COUNTIFS(Runs!$B$2:$B$61,B61,Runs!$E$2:$E$61,E61,Runs!$N$2:$N$61,N61,Runs!$AO$2:$AO$61,1)</f>
        <v>2</v>
      </c>
      <c r="AQ61" s="6" t="n">
        <f aca="false">IF(AO61=1,AVERAGEIFS(Runs!$R$2:$R$61,Runs!$B$2:$B$61,B61,Runs!$E$2:$E$61,E61,Runs!$N$2:$N$61,N61,Runs!$AO$2:$AO$61,1),"")</f>
        <v>96.295</v>
      </c>
      <c r="AR61" s="6" t="n">
        <f aca="false">IF(AO61=1,IF(AP61&gt;1,(R61-AQ61)^2*AP61/(AP61-1),0),0)</f>
        <v>27.45405</v>
      </c>
      <c r="AS61" s="6" t="n">
        <f aca="false">IF(ISNUMBER(J61),1,0)</f>
        <v>1</v>
      </c>
      <c r="AT61" s="6" t="n">
        <f aca="false">COUNTIFS(Runs!$B$2:$B$61,B61,Runs!$E$2:$E$61,E61,Runs!$N$2:$N$61,N61,Runs!$AS$2:$AS$61,1)</f>
        <v>2</v>
      </c>
      <c r="AU61" s="6" t="n">
        <f aca="false">IF(AS61=1,AVERAGEIFS(Runs!$J$2:$J$61,Runs!$B$2:$B$61,B61,Runs!$E$2:$E$61,E61,Runs!$N$2:$N$61,N61,Runs!$AS$2:$AS$61,1),"")</f>
        <v>0.973684</v>
      </c>
      <c r="AV61" s="6" t="n">
        <f aca="false">IF(AS61=1,IF(AT61&gt;1,(J61-AU61)^2*AT61/(AT61-1),0),0)</f>
        <v>0.001385063712</v>
      </c>
      <c r="AW61" s="6" t="n">
        <f aca="false">IF(ISNUMBER(Q61),1,0)</f>
        <v>1</v>
      </c>
      <c r="AX61" s="6" t="n">
        <f aca="false">COUNTIFS(Runs!$B$2:$B$61,B61,Runs!$E$2:$E$61,E61,Runs!$N$2:$N$61,N61,Runs!$AW$2:$AW$61,1)</f>
        <v>2</v>
      </c>
      <c r="AY61" s="6" t="n">
        <f aca="false">IF(AW61=1,AVERAGEIFS(Runs!$Q$2:$Q$61,Runs!$B$2:$B$61,B61,Runs!$E$2:$E$61,E61,Runs!$N$2:$N$61,N61,Runs!$AW$2:$AW$61,1),"")</f>
        <v>5.0350462489449</v>
      </c>
      <c r="AZ61" s="6" t="n">
        <f aca="false">IF(AW61=1,IF(AX61&gt;1,(Q61-AY61)^2*AX61/(AX61-1),0),0)</f>
        <v>0.00763026068447396</v>
      </c>
    </row>
  </sheetData>
  <conditionalFormatting sqref="AH2:AI61">
    <cfRule type="cellIs" priority="2" operator="equal" aboveAverage="0" equalAverage="0" bottom="0" percent="0" rank="0" text="" dxfId="0">
      <formula>"ok"</formula>
    </cfRule>
    <cfRule type="cellIs" priority="3" operator="equal" aboveAverage="0" equalAverage="0" bottom="0" percent="0" rank="0" text="" dxfId="0">
      <formula>"close"</formula>
    </cfRule>
    <cfRule type="cellIs" priority="4"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0"/>
    <col collapsed="false" customWidth="true" hidden="false" outlineLevel="0" max="4" min="4" style="0" width="22"/>
    <col collapsed="false" customWidth="true" hidden="false" outlineLevel="0" max="31" min="5" style="0" width="7"/>
    <col collapsed="false" customWidth="true" hidden="false" outlineLevel="0" max="33" min="32" style="0" width="12"/>
    <col collapsed="false" customWidth="true" hidden="false" outlineLevel="0" max="44" min="34" style="0" width="7"/>
    <col collapsed="false" customWidth="true" hidden="false" outlineLevel="0" max="46" min="45" style="0" width="12"/>
  </cols>
  <sheetData>
    <row r="1" customFormat="false" ht="15" hidden="false" customHeight="false" outlineLevel="0" collapsed="false">
      <c r="A1" s="3" t="s">
        <v>181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customFormat="false" ht="15" hidden="false" customHeight="false" outlineLevel="0" collapsed="false">
      <c r="A3" s="5" t="s">
        <v>182</v>
      </c>
      <c r="B3" s="2"/>
      <c r="C3" s="2"/>
      <c r="D3" s="2"/>
      <c r="E3" s="5" t="s">
        <v>183</v>
      </c>
      <c r="F3" s="5" t="s">
        <v>184</v>
      </c>
      <c r="G3" s="5" t="s">
        <v>185</v>
      </c>
      <c r="H3" s="5" t="s">
        <v>186</v>
      </c>
      <c r="I3" s="5" t="s">
        <v>187</v>
      </c>
      <c r="J3" s="5" t="s">
        <v>188</v>
      </c>
      <c r="K3" s="5" t="s">
        <v>189</v>
      </c>
      <c r="L3" s="5" t="s">
        <v>190</v>
      </c>
      <c r="M3" s="5" t="s">
        <v>191</v>
      </c>
      <c r="N3" s="5" t="s">
        <v>192</v>
      </c>
      <c r="O3" s="5" t="s">
        <v>193</v>
      </c>
      <c r="P3" s="5" t="s">
        <v>194</v>
      </c>
      <c r="Q3" s="5" t="s">
        <v>195</v>
      </c>
      <c r="R3" s="5" t="s">
        <v>196</v>
      </c>
      <c r="S3" s="5" t="s">
        <v>197</v>
      </c>
      <c r="T3" s="5" t="s">
        <v>198</v>
      </c>
      <c r="U3" s="5" t="s">
        <v>199</v>
      </c>
      <c r="V3" s="5" t="s">
        <v>200</v>
      </c>
      <c r="W3" s="5" t="s">
        <v>201</v>
      </c>
      <c r="X3" s="5" t="s">
        <v>202</v>
      </c>
      <c r="Y3" s="5" t="s">
        <v>203</v>
      </c>
      <c r="Z3" s="5" t="s">
        <v>204</v>
      </c>
      <c r="AA3" s="5" t="s">
        <v>205</v>
      </c>
      <c r="AB3" s="5" t="s">
        <v>206</v>
      </c>
      <c r="AC3" s="5" t="s">
        <v>207</v>
      </c>
      <c r="AD3" s="5" t="s">
        <v>208</v>
      </c>
      <c r="AE3" s="2"/>
      <c r="AF3" s="2"/>
      <c r="AG3" s="2"/>
      <c r="AH3" s="2"/>
      <c r="AI3" s="2"/>
      <c r="AJ3" s="2"/>
      <c r="AK3" s="2"/>
      <c r="AL3" s="2"/>
      <c r="AM3" s="2"/>
      <c r="AN3" s="2"/>
      <c r="AO3" s="2"/>
      <c r="AP3" s="2"/>
      <c r="AQ3" s="2"/>
      <c r="AR3" s="2"/>
      <c r="AS3" s="2"/>
      <c r="AT3" s="2"/>
    </row>
    <row r="4" customFormat="false" ht="15" hidden="false" customHeight="false" outlineLevel="0" collapsed="false">
      <c r="A4" s="5" t="s">
        <v>209</v>
      </c>
      <c r="B4" s="2"/>
      <c r="C4" s="2"/>
      <c r="D4" s="2"/>
      <c r="E4" s="9" t="n">
        <v>1</v>
      </c>
      <c r="F4" s="9" t="n">
        <v>3</v>
      </c>
      <c r="G4" s="9" t="n">
        <v>3</v>
      </c>
      <c r="H4" s="9" t="n">
        <v>2</v>
      </c>
      <c r="I4" s="9" t="n">
        <v>2</v>
      </c>
      <c r="J4" s="9" t="n">
        <v>1</v>
      </c>
      <c r="K4" s="9" t="n">
        <v>1</v>
      </c>
      <c r="L4" s="9" t="n">
        <v>2</v>
      </c>
      <c r="M4" s="9" t="n">
        <v>1</v>
      </c>
      <c r="N4" s="9" t="n">
        <v>2</v>
      </c>
      <c r="O4" s="9" t="n">
        <v>3</v>
      </c>
      <c r="P4" s="9" t="n">
        <v>2</v>
      </c>
      <c r="Q4" s="9" t="n">
        <v>3</v>
      </c>
      <c r="R4" s="9" t="n">
        <v>3</v>
      </c>
      <c r="S4" s="9" t="n">
        <v>3</v>
      </c>
      <c r="T4" s="9" t="n">
        <v>2</v>
      </c>
      <c r="U4" s="9" t="n">
        <v>1</v>
      </c>
      <c r="V4" s="9" t="n">
        <v>2</v>
      </c>
      <c r="W4" s="9" t="n">
        <v>1</v>
      </c>
      <c r="X4" s="9" t="n">
        <v>2</v>
      </c>
      <c r="Y4" s="9" t="n">
        <v>2</v>
      </c>
      <c r="Z4" s="9" t="n">
        <v>2</v>
      </c>
      <c r="AA4" s="9" t="n">
        <v>3</v>
      </c>
      <c r="AB4" s="9" t="n">
        <v>1</v>
      </c>
      <c r="AC4" s="9" t="n">
        <v>1</v>
      </c>
      <c r="AD4" s="9" t="n">
        <v>1</v>
      </c>
      <c r="AE4" s="2"/>
      <c r="AF4" s="2"/>
      <c r="AG4" s="2"/>
      <c r="AH4" s="2"/>
      <c r="AI4" s="2"/>
      <c r="AJ4" s="2"/>
      <c r="AK4" s="2"/>
      <c r="AL4" s="2"/>
      <c r="AM4" s="2"/>
      <c r="AN4" s="2"/>
      <c r="AO4" s="2"/>
      <c r="AP4" s="2"/>
      <c r="AQ4" s="2"/>
      <c r="AR4" s="2"/>
      <c r="AS4" s="2"/>
      <c r="AT4" s="2"/>
    </row>
    <row r="5" customFormat="false" ht="15" hidden="false" customHeight="false" outlineLevel="0" collapsed="false">
      <c r="A5" s="5" t="s">
        <v>52</v>
      </c>
      <c r="B5" s="5" t="s">
        <v>54</v>
      </c>
      <c r="C5" s="5" t="s">
        <v>210</v>
      </c>
      <c r="D5" s="5" t="s">
        <v>211</v>
      </c>
      <c r="E5" s="2"/>
      <c r="F5" s="2"/>
      <c r="G5" s="2"/>
      <c r="H5" s="2"/>
      <c r="I5" s="2"/>
      <c r="J5" s="2"/>
      <c r="K5" s="2"/>
      <c r="L5" s="2"/>
      <c r="M5" s="2"/>
      <c r="N5" s="2"/>
      <c r="O5" s="2"/>
      <c r="P5" s="2"/>
      <c r="Q5" s="2"/>
      <c r="R5" s="2"/>
      <c r="S5" s="2"/>
      <c r="T5" s="2"/>
      <c r="U5" s="2"/>
      <c r="V5" s="2"/>
      <c r="W5" s="2"/>
      <c r="X5" s="2"/>
      <c r="Y5" s="2"/>
      <c r="Z5" s="2"/>
      <c r="AA5" s="2"/>
      <c r="AB5" s="2"/>
      <c r="AC5" s="2"/>
      <c r="AD5" s="2"/>
      <c r="AE5" s="2"/>
      <c r="AF5" s="5" t="s">
        <v>212</v>
      </c>
      <c r="AG5" s="5" t="s">
        <v>213</v>
      </c>
      <c r="AH5" s="2"/>
      <c r="AI5" s="5" t="s">
        <v>214</v>
      </c>
      <c r="AJ5" s="5" t="s">
        <v>215</v>
      </c>
      <c r="AK5" s="5" t="s">
        <v>216</v>
      </c>
      <c r="AL5" s="5" t="s">
        <v>217</v>
      </c>
      <c r="AM5" s="5" t="s">
        <v>218</v>
      </c>
      <c r="AN5" s="5" t="s">
        <v>219</v>
      </c>
      <c r="AO5" s="5" t="s">
        <v>220</v>
      </c>
      <c r="AP5" s="5" t="s">
        <v>221</v>
      </c>
      <c r="AQ5" s="5" t="s">
        <v>222</v>
      </c>
      <c r="AR5" s="5" t="s">
        <v>223</v>
      </c>
      <c r="AS5" s="5" t="s">
        <v>224</v>
      </c>
      <c r="AT5" s="5" t="s">
        <v>225</v>
      </c>
    </row>
    <row r="6" customFormat="false" ht="15" hidden="false" customHeight="false" outlineLevel="0" collapsed="false">
      <c r="A6" s="9" t="s">
        <v>124</v>
      </c>
      <c r="B6" s="9" t="s">
        <v>105</v>
      </c>
      <c r="C6" s="9"/>
      <c r="D6" s="9" t="s">
        <v>226</v>
      </c>
      <c r="E6" s="9" t="s">
        <v>227</v>
      </c>
      <c r="F6" s="9" t="s">
        <v>227</v>
      </c>
      <c r="G6" s="9" t="s">
        <v>228</v>
      </c>
      <c r="H6" s="9" t="s">
        <v>227</v>
      </c>
      <c r="I6" s="9" t="s">
        <v>227</v>
      </c>
      <c r="J6" s="9" t="s">
        <v>227</v>
      </c>
      <c r="K6" s="9" t="s">
        <v>227</v>
      </c>
      <c r="L6" s="9" t="s">
        <v>227</v>
      </c>
      <c r="M6" s="9" t="s">
        <v>228</v>
      </c>
      <c r="N6" s="9" t="s">
        <v>227</v>
      </c>
      <c r="O6" s="9" t="s">
        <v>227</v>
      </c>
      <c r="P6" s="9" t="s">
        <v>227</v>
      </c>
      <c r="Q6" s="9" t="s">
        <v>227</v>
      </c>
      <c r="R6" s="9" t="s">
        <v>227</v>
      </c>
      <c r="S6" s="9" t="s">
        <v>227</v>
      </c>
      <c r="T6" s="9" t="s">
        <v>227</v>
      </c>
      <c r="U6" s="9" t="s">
        <v>227</v>
      </c>
      <c r="V6" s="9" t="s">
        <v>228</v>
      </c>
      <c r="W6" s="9" t="s">
        <v>228</v>
      </c>
      <c r="X6" s="9" t="s">
        <v>227</v>
      </c>
      <c r="Y6" s="9" t="s">
        <v>227</v>
      </c>
      <c r="Z6" s="9" t="s">
        <v>227</v>
      </c>
      <c r="AA6" s="9" t="s">
        <v>227</v>
      </c>
      <c r="AB6" s="9" t="s">
        <v>227</v>
      </c>
      <c r="AC6" s="9" t="s">
        <v>227</v>
      </c>
      <c r="AD6" s="9" t="s">
        <v>227</v>
      </c>
      <c r="AE6" s="2"/>
      <c r="AF6" s="6" t="n">
        <f aca="false">ROUND(100*SUMPRODUCT(($E6:$AD6="pass")*$E$4:$AD$4)/SUMPRODUCT((($E6:$AD6="pass")+($E6:$AD6="fail"))*$E$4:$AD$4),2)</f>
        <v>14</v>
      </c>
      <c r="AG6" s="6" t="n">
        <f aca="false">IF(OR(ISNUMBER(SEARCH("A8",C6)),AND(ISNUMBER(SEARCH("A0",C6)),ISNUMBER(SEARCH("ETARGET",D6)))),1,0)</f>
        <v>0</v>
      </c>
      <c r="AH6" s="2"/>
      <c r="AI6" s="9" t="s">
        <v>227</v>
      </c>
      <c r="AJ6" s="9" t="s">
        <v>228</v>
      </c>
      <c r="AK6" s="9" t="s">
        <v>227</v>
      </c>
      <c r="AL6" s="9" t="s">
        <v>228</v>
      </c>
      <c r="AM6" s="9" t="s">
        <v>228</v>
      </c>
      <c r="AN6" s="9" t="s">
        <v>227</v>
      </c>
      <c r="AO6" s="9" t="s">
        <v>228</v>
      </c>
      <c r="AP6" s="9" t="s">
        <v>228</v>
      </c>
      <c r="AQ6" s="9" t="s">
        <v>227</v>
      </c>
      <c r="AR6" s="9" t="s">
        <v>228</v>
      </c>
      <c r="AS6" s="6" t="n">
        <f aca="false">IF(COUNTIF(AI6:AR6,"pass")+COUNTIF(AI6:AR6,"fail")=0,"",COUNTIF(AI6:AR6,"pass")/(COUNTIF(AI6:AR6,"pass")+COUNTIF(AI6:AR6,"fail")))</f>
        <v>0.6</v>
      </c>
      <c r="AT6" s="6" t="str">
        <f aca="false">IF(COUNTIF(Runs!$A$2:$A$61,A6)&gt;0,"yes","no, a void attempt")</f>
        <v>yes</v>
      </c>
    </row>
    <row r="7" customFormat="false" ht="15" hidden="false" customHeight="false" outlineLevel="0" collapsed="false">
      <c r="A7" s="9" t="s">
        <v>155</v>
      </c>
      <c r="B7" s="9" t="s">
        <v>105</v>
      </c>
      <c r="C7" s="9"/>
      <c r="D7" s="9" t="s">
        <v>226</v>
      </c>
      <c r="E7" s="9" t="s">
        <v>227</v>
      </c>
      <c r="F7" s="9" t="s">
        <v>227</v>
      </c>
      <c r="G7" s="9" t="s">
        <v>228</v>
      </c>
      <c r="H7" s="9" t="s">
        <v>227</v>
      </c>
      <c r="I7" s="9" t="s">
        <v>227</v>
      </c>
      <c r="J7" s="9" t="s">
        <v>227</v>
      </c>
      <c r="K7" s="9" t="s">
        <v>228</v>
      </c>
      <c r="L7" s="9" t="s">
        <v>228</v>
      </c>
      <c r="M7" s="9" t="s">
        <v>227</v>
      </c>
      <c r="N7" s="9" t="s">
        <v>227</v>
      </c>
      <c r="O7" s="9" t="s">
        <v>227</v>
      </c>
      <c r="P7" s="9" t="s">
        <v>227</v>
      </c>
      <c r="Q7" s="9" t="s">
        <v>227</v>
      </c>
      <c r="R7" s="9" t="s">
        <v>227</v>
      </c>
      <c r="S7" s="9" t="s">
        <v>227</v>
      </c>
      <c r="T7" s="9" t="s">
        <v>227</v>
      </c>
      <c r="U7" s="9" t="s">
        <v>227</v>
      </c>
      <c r="V7" s="9" t="s">
        <v>227</v>
      </c>
      <c r="W7" s="9" t="s">
        <v>227</v>
      </c>
      <c r="X7" s="9" t="s">
        <v>227</v>
      </c>
      <c r="Y7" s="9" t="s">
        <v>227</v>
      </c>
      <c r="Z7" s="9" t="s">
        <v>227</v>
      </c>
      <c r="AA7" s="9" t="s">
        <v>227</v>
      </c>
      <c r="AB7" s="9" t="s">
        <v>227</v>
      </c>
      <c r="AC7" s="9" t="s">
        <v>227</v>
      </c>
      <c r="AD7" s="9" t="s">
        <v>227</v>
      </c>
      <c r="AE7" s="2"/>
      <c r="AF7" s="6" t="n">
        <f aca="false">ROUND(100*SUMPRODUCT(($E7:$AD7="pass")*$E$4:$AD$4)/SUMPRODUCT((($E7:$AD7="pass")+($E7:$AD7="fail"))*$E$4:$AD$4),2)</f>
        <v>12</v>
      </c>
      <c r="AG7" s="6" t="n">
        <f aca="false">IF(OR(ISNUMBER(SEARCH("A8",C7)),AND(ISNUMBER(SEARCH("A0",C7)),ISNUMBER(SEARCH("ETARGET",D7)))),1,0)</f>
        <v>0</v>
      </c>
      <c r="AH7" s="2"/>
      <c r="AI7" s="9" t="s">
        <v>227</v>
      </c>
      <c r="AJ7" s="9" t="s">
        <v>228</v>
      </c>
      <c r="AK7" s="9" t="s">
        <v>228</v>
      </c>
      <c r="AL7" s="9" t="s">
        <v>227</v>
      </c>
      <c r="AM7" s="9" t="s">
        <v>228</v>
      </c>
      <c r="AN7" s="9" t="s">
        <v>228</v>
      </c>
      <c r="AO7" s="9" t="s">
        <v>228</v>
      </c>
      <c r="AP7" s="9" t="s">
        <v>227</v>
      </c>
      <c r="AQ7" s="9" t="s">
        <v>228</v>
      </c>
      <c r="AR7" s="9" t="s">
        <v>228</v>
      </c>
      <c r="AS7" s="6" t="n">
        <f aca="false">IF(COUNTIF(AI7:AR7,"pass")+COUNTIF(AI7:AR7,"fail")=0,"",COUNTIF(AI7:AR7,"pass")/(COUNTIF(AI7:AR7,"pass")+COUNTIF(AI7:AR7,"fail")))</f>
        <v>0.7</v>
      </c>
      <c r="AT7" s="6" t="str">
        <f aca="false">IF(COUNTIF(Runs!$A$2:$A$61,A7)&gt;0,"yes","no, a void attempt")</f>
        <v>yes</v>
      </c>
    </row>
    <row r="8" customFormat="false" ht="15" hidden="false" customHeight="false" outlineLevel="0" collapsed="false">
      <c r="A8" s="9" t="s">
        <v>127</v>
      </c>
      <c r="B8" s="9" t="s">
        <v>105</v>
      </c>
      <c r="C8" s="9"/>
      <c r="D8" s="9" t="s">
        <v>226</v>
      </c>
      <c r="E8" s="9" t="s">
        <v>227</v>
      </c>
      <c r="F8" s="9" t="s">
        <v>227</v>
      </c>
      <c r="G8" s="9" t="s">
        <v>227</v>
      </c>
      <c r="H8" s="9" t="s">
        <v>227</v>
      </c>
      <c r="I8" s="9" t="s">
        <v>227</v>
      </c>
      <c r="J8" s="9" t="s">
        <v>227</v>
      </c>
      <c r="K8" s="9" t="s">
        <v>227</v>
      </c>
      <c r="L8" s="9" t="s">
        <v>227</v>
      </c>
      <c r="M8" s="9" t="s">
        <v>227</v>
      </c>
      <c r="N8" s="9" t="s">
        <v>227</v>
      </c>
      <c r="O8" s="9" t="s">
        <v>227</v>
      </c>
      <c r="P8" s="9" t="s">
        <v>227</v>
      </c>
      <c r="Q8" s="9" t="s">
        <v>227</v>
      </c>
      <c r="R8" s="9" t="s">
        <v>227</v>
      </c>
      <c r="S8" s="9" t="s">
        <v>227</v>
      </c>
      <c r="T8" s="9" t="s">
        <v>227</v>
      </c>
      <c r="U8" s="9" t="s">
        <v>227</v>
      </c>
      <c r="V8" s="9" t="s">
        <v>228</v>
      </c>
      <c r="W8" s="9" t="s">
        <v>227</v>
      </c>
      <c r="X8" s="9" t="s">
        <v>227</v>
      </c>
      <c r="Y8" s="9" t="s">
        <v>227</v>
      </c>
      <c r="Z8" s="9" t="s">
        <v>227</v>
      </c>
      <c r="AA8" s="9" t="s">
        <v>227</v>
      </c>
      <c r="AB8" s="9" t="s">
        <v>227</v>
      </c>
      <c r="AC8" s="9" t="s">
        <v>227</v>
      </c>
      <c r="AD8" s="9" t="s">
        <v>227</v>
      </c>
      <c r="AE8" s="2"/>
      <c r="AF8" s="6" t="n">
        <f aca="false">ROUND(100*SUMPRODUCT(($E8:$AD8="pass")*$E$4:$AD$4)/SUMPRODUCT((($E8:$AD8="pass")+($E8:$AD8="fail"))*$E$4:$AD$4),2)</f>
        <v>4</v>
      </c>
      <c r="AG8" s="6" t="n">
        <f aca="false">IF(OR(ISNUMBER(SEARCH("A8",C8)),AND(ISNUMBER(SEARCH("A0",C8)),ISNUMBER(SEARCH("ETARGET",D8)))),1,0)</f>
        <v>0</v>
      </c>
      <c r="AH8" s="2"/>
      <c r="AI8" s="9" t="s">
        <v>228</v>
      </c>
      <c r="AJ8" s="9" t="s">
        <v>227</v>
      </c>
      <c r="AK8" s="9" t="s">
        <v>228</v>
      </c>
      <c r="AL8" s="9" t="s">
        <v>228</v>
      </c>
      <c r="AM8" s="9" t="s">
        <v>227</v>
      </c>
      <c r="AN8" s="9" t="s">
        <v>228</v>
      </c>
      <c r="AO8" s="9" t="s">
        <v>228</v>
      </c>
      <c r="AP8" s="9" t="s">
        <v>227</v>
      </c>
      <c r="AQ8" s="9" t="s">
        <v>228</v>
      </c>
      <c r="AR8" s="9" t="s">
        <v>228</v>
      </c>
      <c r="AS8" s="6" t="n">
        <f aca="false">IF(COUNTIF(AI8:AR8,"pass")+COUNTIF(AI8:AR8,"fail")=0,"",COUNTIF(AI8:AR8,"pass")/(COUNTIF(AI8:AR8,"pass")+COUNTIF(AI8:AR8,"fail")))</f>
        <v>0.7</v>
      </c>
      <c r="AT8" s="6" t="str">
        <f aca="false">IF(COUNTIF(Runs!$A$2:$A$61,A8)&gt;0,"yes","no, a void attempt")</f>
        <v>yes</v>
      </c>
    </row>
    <row r="9" customFormat="false" ht="15" hidden="false" customHeight="false" outlineLevel="0" collapsed="false">
      <c r="A9" s="9" t="s">
        <v>116</v>
      </c>
      <c r="B9" s="9" t="s">
        <v>105</v>
      </c>
      <c r="C9" s="9"/>
      <c r="D9" s="9" t="s">
        <v>226</v>
      </c>
      <c r="E9" s="9" t="s">
        <v>227</v>
      </c>
      <c r="F9" s="9" t="s">
        <v>228</v>
      </c>
      <c r="G9" s="9" t="s">
        <v>228</v>
      </c>
      <c r="H9" s="9" t="s">
        <v>227</v>
      </c>
      <c r="I9" s="9" t="s">
        <v>227</v>
      </c>
      <c r="J9" s="9" t="s">
        <v>228</v>
      </c>
      <c r="K9" s="9" t="s">
        <v>228</v>
      </c>
      <c r="L9" s="9" t="s">
        <v>227</v>
      </c>
      <c r="M9" s="9" t="s">
        <v>228</v>
      </c>
      <c r="N9" s="9" t="s">
        <v>228</v>
      </c>
      <c r="O9" s="9" t="s">
        <v>228</v>
      </c>
      <c r="P9" s="9" t="s">
        <v>228</v>
      </c>
      <c r="Q9" s="9" t="s">
        <v>228</v>
      </c>
      <c r="R9" s="9" t="s">
        <v>228</v>
      </c>
      <c r="S9" s="9" t="s">
        <v>228</v>
      </c>
      <c r="T9" s="9" t="s">
        <v>228</v>
      </c>
      <c r="U9" s="9" t="s">
        <v>228</v>
      </c>
      <c r="V9" s="9" t="s">
        <v>228</v>
      </c>
      <c r="W9" s="9" t="s">
        <v>228</v>
      </c>
      <c r="X9" s="9" t="s">
        <v>228</v>
      </c>
      <c r="Y9" s="9" t="s">
        <v>228</v>
      </c>
      <c r="Z9" s="9" t="s">
        <v>228</v>
      </c>
      <c r="AA9" s="9" t="s">
        <v>228</v>
      </c>
      <c r="AB9" s="9" t="s">
        <v>228</v>
      </c>
      <c r="AC9" s="9" t="s">
        <v>228</v>
      </c>
      <c r="AD9" s="9" t="s">
        <v>228</v>
      </c>
      <c r="AE9" s="2"/>
      <c r="AF9" s="6" t="n">
        <f aca="false">ROUND(100*SUMPRODUCT(($E9:$AD9="pass")*$E$4:$AD$4)/SUMPRODUCT((($E9:$AD9="pass")+($E9:$AD9="fail"))*$E$4:$AD$4),2)</f>
        <v>86</v>
      </c>
      <c r="AG9" s="6" t="n">
        <f aca="false">IF(OR(ISNUMBER(SEARCH("A8",C9)),AND(ISNUMBER(SEARCH("A0",C9)),ISNUMBER(SEARCH("ETARGET",D9)))),1,0)</f>
        <v>0</v>
      </c>
      <c r="AH9" s="2"/>
      <c r="AI9" s="9" t="s">
        <v>228</v>
      </c>
      <c r="AJ9" s="9" t="s">
        <v>228</v>
      </c>
      <c r="AK9" s="9" t="s">
        <v>227</v>
      </c>
      <c r="AL9" s="9" t="s">
        <v>228</v>
      </c>
      <c r="AM9" s="9" t="s">
        <v>228</v>
      </c>
      <c r="AN9" s="9" t="s">
        <v>227</v>
      </c>
      <c r="AO9" s="9" t="s">
        <v>227</v>
      </c>
      <c r="AP9" s="9" t="s">
        <v>228</v>
      </c>
      <c r="AQ9" s="9" t="s">
        <v>228</v>
      </c>
      <c r="AR9" s="9" t="s">
        <v>228</v>
      </c>
      <c r="AS9" s="6" t="n">
        <f aca="false">IF(COUNTIF(AI9:AR9,"pass")+COUNTIF(AI9:AR9,"fail")=0,"",COUNTIF(AI9:AR9,"pass")/(COUNTIF(AI9:AR9,"pass")+COUNTIF(AI9:AR9,"fail")))</f>
        <v>0.7</v>
      </c>
      <c r="AT9" s="6" t="str">
        <f aca="false">IF(COUNTIF(Runs!$A$2:$A$61,A9)&gt;0,"yes","no, a void attempt")</f>
        <v>yes</v>
      </c>
    </row>
    <row r="10" customFormat="false" ht="15" hidden="false" customHeight="false" outlineLevel="0" collapsed="false">
      <c r="A10" s="9" t="s">
        <v>114</v>
      </c>
      <c r="B10" s="9" t="s">
        <v>105</v>
      </c>
      <c r="C10" s="9"/>
      <c r="D10" s="9" t="s">
        <v>226</v>
      </c>
      <c r="E10" s="9" t="s">
        <v>228</v>
      </c>
      <c r="F10" s="9" t="s">
        <v>228</v>
      </c>
      <c r="G10" s="9" t="s">
        <v>227</v>
      </c>
      <c r="H10" s="9" t="s">
        <v>228</v>
      </c>
      <c r="I10" s="9" t="s">
        <v>227</v>
      </c>
      <c r="J10" s="9" t="s">
        <v>228</v>
      </c>
      <c r="K10" s="9" t="s">
        <v>228</v>
      </c>
      <c r="L10" s="9" t="s">
        <v>228</v>
      </c>
      <c r="M10" s="9" t="s">
        <v>228</v>
      </c>
      <c r="N10" s="9" t="s">
        <v>228</v>
      </c>
      <c r="O10" s="9" t="s">
        <v>228</v>
      </c>
      <c r="P10" s="9" t="s">
        <v>228</v>
      </c>
      <c r="Q10" s="9" t="s">
        <v>228</v>
      </c>
      <c r="R10" s="9" t="s">
        <v>228</v>
      </c>
      <c r="S10" s="9" t="s">
        <v>228</v>
      </c>
      <c r="T10" s="9" t="s">
        <v>228</v>
      </c>
      <c r="U10" s="9" t="s">
        <v>227</v>
      </c>
      <c r="V10" s="9" t="s">
        <v>228</v>
      </c>
      <c r="W10" s="9" t="s">
        <v>228</v>
      </c>
      <c r="X10" s="9" t="s">
        <v>228</v>
      </c>
      <c r="Y10" s="9" t="s">
        <v>228</v>
      </c>
      <c r="Z10" s="9" t="s">
        <v>228</v>
      </c>
      <c r="AA10" s="9" t="s">
        <v>227</v>
      </c>
      <c r="AB10" s="9" t="s">
        <v>228</v>
      </c>
      <c r="AC10" s="9" t="s">
        <v>228</v>
      </c>
      <c r="AD10" s="9" t="s">
        <v>227</v>
      </c>
      <c r="AE10" s="2"/>
      <c r="AF10" s="6" t="n">
        <f aca="false">ROUND(100*SUMPRODUCT(($E10:$AD10="pass")*$E$4:$AD$4)/SUMPRODUCT((($E10:$AD10="pass")+($E10:$AD10="fail"))*$E$4:$AD$4),2)</f>
        <v>80</v>
      </c>
      <c r="AG10" s="6" t="n">
        <f aca="false">IF(OR(ISNUMBER(SEARCH("A8",C10)),AND(ISNUMBER(SEARCH("A0",C10)),ISNUMBER(SEARCH("ETARGET",D10)))),1,0)</f>
        <v>0</v>
      </c>
      <c r="AH10" s="2"/>
      <c r="AI10" s="9" t="s">
        <v>228</v>
      </c>
      <c r="AJ10" s="9" t="s">
        <v>228</v>
      </c>
      <c r="AK10" s="9" t="s">
        <v>228</v>
      </c>
      <c r="AL10" s="9" t="s">
        <v>228</v>
      </c>
      <c r="AM10" s="9" t="s">
        <v>228</v>
      </c>
      <c r="AN10" s="9" t="s">
        <v>227</v>
      </c>
      <c r="AO10" s="9" t="s">
        <v>227</v>
      </c>
      <c r="AP10" s="9" t="s">
        <v>228</v>
      </c>
      <c r="AQ10" s="9" t="s">
        <v>227</v>
      </c>
      <c r="AR10" s="9" t="s">
        <v>228</v>
      </c>
      <c r="AS10" s="6" t="n">
        <f aca="false">IF(COUNTIF(AI10:AR10,"pass")+COUNTIF(AI10:AR10,"fail")=0,"",COUNTIF(AI10:AR10,"pass")/(COUNTIF(AI10:AR10,"pass")+COUNTIF(AI10:AR10,"fail")))</f>
        <v>0.7</v>
      </c>
      <c r="AT10" s="6" t="str">
        <f aca="false">IF(COUNTIF(Runs!$A$2:$A$61,A10)&gt;0,"yes","no, a void attempt")</f>
        <v>yes</v>
      </c>
    </row>
    <row r="11" customFormat="false" ht="15" hidden="false" customHeight="false" outlineLevel="0" collapsed="false">
      <c r="A11" s="9" t="s">
        <v>130</v>
      </c>
      <c r="B11" s="9" t="s">
        <v>105</v>
      </c>
      <c r="C11" s="9" t="s">
        <v>229</v>
      </c>
      <c r="D11" s="9" t="s">
        <v>230</v>
      </c>
      <c r="E11" s="9" t="s">
        <v>227</v>
      </c>
      <c r="F11" s="9" t="s">
        <v>227</v>
      </c>
      <c r="G11" s="9" t="s">
        <v>227</v>
      </c>
      <c r="H11" s="9" t="s">
        <v>227</v>
      </c>
      <c r="I11" s="9" t="s">
        <v>228</v>
      </c>
      <c r="J11" s="9" t="s">
        <v>227</v>
      </c>
      <c r="K11" s="9" t="s">
        <v>227</v>
      </c>
      <c r="L11" s="9" t="s">
        <v>227</v>
      </c>
      <c r="M11" s="9" t="s">
        <v>227</v>
      </c>
      <c r="N11" s="9" t="s">
        <v>227</v>
      </c>
      <c r="O11" s="9" t="s">
        <v>227</v>
      </c>
      <c r="P11" s="9" t="s">
        <v>227</v>
      </c>
      <c r="Q11" s="9" t="s">
        <v>227</v>
      </c>
      <c r="R11" s="9" t="s">
        <v>227</v>
      </c>
      <c r="S11" s="9" t="s">
        <v>227</v>
      </c>
      <c r="T11" s="9" t="s">
        <v>227</v>
      </c>
      <c r="U11" s="9" t="s">
        <v>227</v>
      </c>
      <c r="V11" s="9" t="s">
        <v>227</v>
      </c>
      <c r="W11" s="9" t="s">
        <v>227</v>
      </c>
      <c r="X11" s="9" t="s">
        <v>227</v>
      </c>
      <c r="Y11" s="9" t="s">
        <v>227</v>
      </c>
      <c r="Z11" s="9" t="s">
        <v>227</v>
      </c>
      <c r="AA11" s="9" t="s">
        <v>227</v>
      </c>
      <c r="AB11" s="9" t="s">
        <v>227</v>
      </c>
      <c r="AC11" s="9" t="s">
        <v>227</v>
      </c>
      <c r="AD11" s="9" t="s">
        <v>227</v>
      </c>
      <c r="AE11" s="2"/>
      <c r="AF11" s="6" t="n">
        <f aca="false">ROUND(100*SUMPRODUCT(($E11:$AD11="pass")*$E$4:$AD$4)/SUMPRODUCT((($E11:$AD11="pass")+($E11:$AD11="fail"))*$E$4:$AD$4),2)</f>
        <v>4</v>
      </c>
      <c r="AG11" s="6" t="n">
        <f aca="false">IF(OR(ISNUMBER(SEARCH("A8",C11)),AND(ISNUMBER(SEARCH("A0",C11)),ISNUMBER(SEARCH("ETARGET",D11)))),1,0)</f>
        <v>1</v>
      </c>
      <c r="AH11" s="2"/>
      <c r="AI11" s="9" t="s">
        <v>228</v>
      </c>
      <c r="AJ11" s="9" t="s">
        <v>228</v>
      </c>
      <c r="AK11" s="9" t="s">
        <v>227</v>
      </c>
      <c r="AL11" s="9" t="s">
        <v>228</v>
      </c>
      <c r="AM11" s="9" t="s">
        <v>227</v>
      </c>
      <c r="AN11" s="9" t="s">
        <v>228</v>
      </c>
      <c r="AO11" s="9" t="s">
        <v>227</v>
      </c>
      <c r="AP11" s="9" t="s">
        <v>227</v>
      </c>
      <c r="AQ11" s="9" t="s">
        <v>227</v>
      </c>
      <c r="AR11" s="9" t="s">
        <v>227</v>
      </c>
      <c r="AS11" s="6" t="n">
        <f aca="false">IF(COUNTIF(AI11:AR11,"pass")+COUNTIF(AI11:AR11,"fail")=0,"",COUNTIF(AI11:AR11,"pass")/(COUNTIF(AI11:AR11,"pass")+COUNTIF(AI11:AR11,"fail")))</f>
        <v>0.4</v>
      </c>
      <c r="AT11" s="6" t="str">
        <f aca="false">IF(COUNTIF(Runs!$A$2:$A$61,A11)&gt;0,"yes","no, a void attempt")</f>
        <v>yes</v>
      </c>
    </row>
    <row r="12" customFormat="false" ht="15" hidden="false" customHeight="false" outlineLevel="0" collapsed="false">
      <c r="A12" s="9" t="s">
        <v>157</v>
      </c>
      <c r="B12" s="9" t="s">
        <v>105</v>
      </c>
      <c r="C12" s="9"/>
      <c r="D12" s="9" t="s">
        <v>226</v>
      </c>
      <c r="E12" s="9" t="s">
        <v>227</v>
      </c>
      <c r="F12" s="9" t="s">
        <v>227</v>
      </c>
      <c r="G12" s="9" t="s">
        <v>227</v>
      </c>
      <c r="H12" s="9" t="s">
        <v>227</v>
      </c>
      <c r="I12" s="9" t="s">
        <v>227</v>
      </c>
      <c r="J12" s="9" t="s">
        <v>227</v>
      </c>
      <c r="K12" s="9" t="s">
        <v>227</v>
      </c>
      <c r="L12" s="9" t="s">
        <v>228</v>
      </c>
      <c r="M12" s="9" t="s">
        <v>227</v>
      </c>
      <c r="N12" s="9" t="s">
        <v>227</v>
      </c>
      <c r="O12" s="9" t="s">
        <v>227</v>
      </c>
      <c r="P12" s="9" t="s">
        <v>227</v>
      </c>
      <c r="Q12" s="9" t="s">
        <v>227</v>
      </c>
      <c r="R12" s="9" t="s">
        <v>227</v>
      </c>
      <c r="S12" s="9" t="s">
        <v>227</v>
      </c>
      <c r="T12" s="9" t="s">
        <v>227</v>
      </c>
      <c r="U12" s="9" t="s">
        <v>227</v>
      </c>
      <c r="V12" s="9" t="s">
        <v>228</v>
      </c>
      <c r="W12" s="9" t="s">
        <v>227</v>
      </c>
      <c r="X12" s="9" t="s">
        <v>227</v>
      </c>
      <c r="Y12" s="9" t="s">
        <v>228</v>
      </c>
      <c r="Z12" s="9" t="s">
        <v>227</v>
      </c>
      <c r="AA12" s="9" t="s">
        <v>227</v>
      </c>
      <c r="AB12" s="9" t="s">
        <v>227</v>
      </c>
      <c r="AC12" s="9" t="s">
        <v>227</v>
      </c>
      <c r="AD12" s="9" t="s">
        <v>227</v>
      </c>
      <c r="AE12" s="2"/>
      <c r="AF12" s="6" t="n">
        <f aca="false">ROUND(100*SUMPRODUCT(($E12:$AD12="pass")*$E$4:$AD$4)/SUMPRODUCT((($E12:$AD12="pass")+($E12:$AD12="fail"))*$E$4:$AD$4),2)</f>
        <v>12</v>
      </c>
      <c r="AG12" s="6" t="n">
        <f aca="false">IF(OR(ISNUMBER(SEARCH("A8",C12)),AND(ISNUMBER(SEARCH("A0",C12)),ISNUMBER(SEARCH("ETARGET",D12)))),1,0)</f>
        <v>0</v>
      </c>
      <c r="AH12" s="2"/>
      <c r="AI12" s="9" t="s">
        <v>228</v>
      </c>
      <c r="AJ12" s="9" t="s">
        <v>228</v>
      </c>
      <c r="AK12" s="9" t="s">
        <v>228</v>
      </c>
      <c r="AL12" s="9" t="s">
        <v>227</v>
      </c>
      <c r="AM12" s="9" t="s">
        <v>228</v>
      </c>
      <c r="AN12" s="9" t="s">
        <v>228</v>
      </c>
      <c r="AO12" s="9" t="s">
        <v>227</v>
      </c>
      <c r="AP12" s="9" t="s">
        <v>227</v>
      </c>
      <c r="AQ12" s="9" t="s">
        <v>228</v>
      </c>
      <c r="AR12" s="9" t="s">
        <v>228</v>
      </c>
      <c r="AS12" s="6" t="n">
        <f aca="false">IF(COUNTIF(AI12:AR12,"pass")+COUNTIF(AI12:AR12,"fail")=0,"",COUNTIF(AI12:AR12,"pass")/(COUNTIF(AI12:AR12,"pass")+COUNTIF(AI12:AR12,"fail")))</f>
        <v>0.7</v>
      </c>
      <c r="AT12" s="6" t="str">
        <f aca="false">IF(COUNTIF(Runs!$A$2:$A$61,A12)&gt;0,"yes","no, a void attempt")</f>
        <v>yes</v>
      </c>
    </row>
    <row r="13" customFormat="false" ht="15" hidden="false" customHeight="false" outlineLevel="0" collapsed="false">
      <c r="A13" s="9" t="s">
        <v>123</v>
      </c>
      <c r="B13" s="9" t="s">
        <v>105</v>
      </c>
      <c r="C13" s="9"/>
      <c r="D13" s="9" t="s">
        <v>226</v>
      </c>
      <c r="E13" s="9" t="s">
        <v>228</v>
      </c>
      <c r="F13" s="9" t="s">
        <v>228</v>
      </c>
      <c r="G13" s="9" t="s">
        <v>228</v>
      </c>
      <c r="H13" s="9" t="s">
        <v>228</v>
      </c>
      <c r="I13" s="9" t="s">
        <v>228</v>
      </c>
      <c r="J13" s="9" t="s">
        <v>228</v>
      </c>
      <c r="K13" s="9" t="s">
        <v>228</v>
      </c>
      <c r="L13" s="9" t="s">
        <v>228</v>
      </c>
      <c r="M13" s="9" t="s">
        <v>228</v>
      </c>
      <c r="N13" s="9" t="s">
        <v>228</v>
      </c>
      <c r="O13" s="9" t="s">
        <v>227</v>
      </c>
      <c r="P13" s="9" t="s">
        <v>228</v>
      </c>
      <c r="Q13" s="9" t="s">
        <v>228</v>
      </c>
      <c r="R13" s="9" t="s">
        <v>228</v>
      </c>
      <c r="S13" s="9" t="s">
        <v>228</v>
      </c>
      <c r="T13" s="9" t="s">
        <v>228</v>
      </c>
      <c r="U13" s="9" t="s">
        <v>228</v>
      </c>
      <c r="V13" s="9" t="s">
        <v>228</v>
      </c>
      <c r="W13" s="9" t="s">
        <v>228</v>
      </c>
      <c r="X13" s="9" t="s">
        <v>228</v>
      </c>
      <c r="Y13" s="9" t="s">
        <v>227</v>
      </c>
      <c r="Z13" s="9" t="s">
        <v>228</v>
      </c>
      <c r="AA13" s="9" t="s">
        <v>228</v>
      </c>
      <c r="AB13" s="9" t="s">
        <v>228</v>
      </c>
      <c r="AC13" s="9" t="s">
        <v>228</v>
      </c>
      <c r="AD13" s="9" t="s">
        <v>228</v>
      </c>
      <c r="AE13" s="2"/>
      <c r="AF13" s="6" t="n">
        <f aca="false">ROUND(100*SUMPRODUCT(($E13:$AD13="pass")*$E$4:$AD$4)/SUMPRODUCT((($E13:$AD13="pass")+($E13:$AD13="fail"))*$E$4:$AD$4),2)</f>
        <v>90</v>
      </c>
      <c r="AG13" s="6" t="n">
        <f aca="false">IF(OR(ISNUMBER(SEARCH("A8",C13)),AND(ISNUMBER(SEARCH("A0",C13)),ISNUMBER(SEARCH("ETARGET",D13)))),1,0)</f>
        <v>0</v>
      </c>
      <c r="AH13" s="2"/>
      <c r="AI13" s="9" t="s">
        <v>228</v>
      </c>
      <c r="AJ13" s="9" t="s">
        <v>228</v>
      </c>
      <c r="AK13" s="9" t="s">
        <v>228</v>
      </c>
      <c r="AL13" s="9" t="s">
        <v>227</v>
      </c>
      <c r="AM13" s="9" t="s">
        <v>228</v>
      </c>
      <c r="AN13" s="9" t="s">
        <v>228</v>
      </c>
      <c r="AO13" s="9" t="s">
        <v>228</v>
      </c>
      <c r="AP13" s="9" t="s">
        <v>228</v>
      </c>
      <c r="AQ13" s="9" t="s">
        <v>228</v>
      </c>
      <c r="AR13" s="9" t="s">
        <v>228</v>
      </c>
      <c r="AS13" s="6" t="n">
        <f aca="false">IF(COUNTIF(AI13:AR13,"pass")+COUNTIF(AI13:AR13,"fail")=0,"",COUNTIF(AI13:AR13,"pass")/(COUNTIF(AI13:AR13,"pass")+COUNTIF(AI13:AR13,"fail")))</f>
        <v>0.9</v>
      </c>
      <c r="AT13" s="6" t="str">
        <f aca="false">IF(COUNTIF(Runs!$A$2:$A$61,A13)&gt;0,"yes","no, a void attempt")</f>
        <v>yes</v>
      </c>
    </row>
    <row r="14" customFormat="false" ht="15" hidden="false" customHeight="false" outlineLevel="0" collapsed="false">
      <c r="A14" s="9" t="s">
        <v>133</v>
      </c>
      <c r="B14" s="9" t="s">
        <v>105</v>
      </c>
      <c r="C14" s="9"/>
      <c r="D14" s="9" t="s">
        <v>226</v>
      </c>
      <c r="E14" s="9" t="s">
        <v>227</v>
      </c>
      <c r="F14" s="9" t="s">
        <v>228</v>
      </c>
      <c r="G14" s="9" t="s">
        <v>228</v>
      </c>
      <c r="H14" s="9" t="s">
        <v>228</v>
      </c>
      <c r="I14" s="9" t="s">
        <v>228</v>
      </c>
      <c r="J14" s="9" t="s">
        <v>228</v>
      </c>
      <c r="K14" s="9" t="s">
        <v>228</v>
      </c>
      <c r="L14" s="9" t="s">
        <v>228</v>
      </c>
      <c r="M14" s="9" t="s">
        <v>228</v>
      </c>
      <c r="N14" s="9" t="s">
        <v>228</v>
      </c>
      <c r="O14" s="9" t="s">
        <v>228</v>
      </c>
      <c r="P14" s="9" t="s">
        <v>228</v>
      </c>
      <c r="Q14" s="9" t="s">
        <v>228</v>
      </c>
      <c r="R14" s="9" t="s">
        <v>228</v>
      </c>
      <c r="S14" s="9" t="s">
        <v>227</v>
      </c>
      <c r="T14" s="9" t="s">
        <v>228</v>
      </c>
      <c r="U14" s="9" t="s">
        <v>228</v>
      </c>
      <c r="V14" s="9" t="s">
        <v>228</v>
      </c>
      <c r="W14" s="9" t="s">
        <v>228</v>
      </c>
      <c r="X14" s="9" t="s">
        <v>228</v>
      </c>
      <c r="Y14" s="9" t="s">
        <v>228</v>
      </c>
      <c r="Z14" s="9" t="s">
        <v>228</v>
      </c>
      <c r="AA14" s="9" t="s">
        <v>228</v>
      </c>
      <c r="AB14" s="9" t="s">
        <v>228</v>
      </c>
      <c r="AC14" s="9" t="s">
        <v>228</v>
      </c>
      <c r="AD14" s="9" t="s">
        <v>228</v>
      </c>
      <c r="AE14" s="2"/>
      <c r="AF14" s="6" t="n">
        <f aca="false">ROUND(100*SUMPRODUCT(($E14:$AD14="pass")*$E$4:$AD$4)/SUMPRODUCT((($E14:$AD14="pass")+($E14:$AD14="fail"))*$E$4:$AD$4),2)</f>
        <v>92</v>
      </c>
      <c r="AG14" s="6" t="n">
        <f aca="false">IF(OR(ISNUMBER(SEARCH("A8",C14)),AND(ISNUMBER(SEARCH("A0",C14)),ISNUMBER(SEARCH("ETARGET",D14)))),1,0)</f>
        <v>0</v>
      </c>
      <c r="AH14" s="2"/>
      <c r="AI14" s="9" t="s">
        <v>228</v>
      </c>
      <c r="AJ14" s="9" t="s">
        <v>227</v>
      </c>
      <c r="AK14" s="9" t="s">
        <v>228</v>
      </c>
      <c r="AL14" s="9" t="s">
        <v>227</v>
      </c>
      <c r="AM14" s="9" t="s">
        <v>228</v>
      </c>
      <c r="AN14" s="9" t="s">
        <v>227</v>
      </c>
      <c r="AO14" s="9" t="s">
        <v>227</v>
      </c>
      <c r="AP14" s="9" t="s">
        <v>227</v>
      </c>
      <c r="AQ14" s="9" t="s">
        <v>227</v>
      </c>
      <c r="AR14" s="9" t="s">
        <v>228</v>
      </c>
      <c r="AS14" s="6" t="n">
        <f aca="false">IF(COUNTIF(AI14:AR14,"pass")+COUNTIF(AI14:AR14,"fail")=0,"",COUNTIF(AI14:AR14,"pass")/(COUNTIF(AI14:AR14,"pass")+COUNTIF(AI14:AR14,"fail")))</f>
        <v>0.4</v>
      </c>
      <c r="AT14" s="6" t="str">
        <f aca="false">IF(COUNTIF(Runs!$A$2:$A$61,A14)&gt;0,"yes","no, a void attempt")</f>
        <v>yes</v>
      </c>
    </row>
    <row r="15" customFormat="false" ht="15" hidden="false" customHeight="false" outlineLevel="0" collapsed="false">
      <c r="A15" s="9" t="s">
        <v>160</v>
      </c>
      <c r="B15" s="9" t="s">
        <v>105</v>
      </c>
      <c r="C15" s="9"/>
      <c r="D15" s="9" t="s">
        <v>226</v>
      </c>
      <c r="E15" s="9" t="s">
        <v>228</v>
      </c>
      <c r="F15" s="9" t="s">
        <v>227</v>
      </c>
      <c r="G15" s="9" t="s">
        <v>227</v>
      </c>
      <c r="H15" s="9" t="s">
        <v>227</v>
      </c>
      <c r="I15" s="9" t="s">
        <v>227</v>
      </c>
      <c r="J15" s="9" t="s">
        <v>227</v>
      </c>
      <c r="K15" s="9" t="s">
        <v>227</v>
      </c>
      <c r="L15" s="9" t="s">
        <v>227</v>
      </c>
      <c r="M15" s="9" t="s">
        <v>227</v>
      </c>
      <c r="N15" s="9" t="s">
        <v>227</v>
      </c>
      <c r="O15" s="9" t="s">
        <v>227</v>
      </c>
      <c r="P15" s="9" t="s">
        <v>227</v>
      </c>
      <c r="Q15" s="9" t="s">
        <v>228</v>
      </c>
      <c r="R15" s="9" t="s">
        <v>227</v>
      </c>
      <c r="S15" s="9" t="s">
        <v>228</v>
      </c>
      <c r="T15" s="9" t="s">
        <v>227</v>
      </c>
      <c r="U15" s="9" t="s">
        <v>227</v>
      </c>
      <c r="V15" s="9" t="s">
        <v>227</v>
      </c>
      <c r="W15" s="9" t="s">
        <v>227</v>
      </c>
      <c r="X15" s="9" t="s">
        <v>227</v>
      </c>
      <c r="Y15" s="9" t="s">
        <v>227</v>
      </c>
      <c r="Z15" s="9" t="s">
        <v>227</v>
      </c>
      <c r="AA15" s="9" t="s">
        <v>227</v>
      </c>
      <c r="AB15" s="9" t="s">
        <v>227</v>
      </c>
      <c r="AC15" s="9" t="s">
        <v>227</v>
      </c>
      <c r="AD15" s="9" t="s">
        <v>227</v>
      </c>
      <c r="AE15" s="2"/>
      <c r="AF15" s="6" t="n">
        <f aca="false">ROUND(100*SUMPRODUCT(($E15:$AD15="pass")*$E$4:$AD$4)/SUMPRODUCT((($E15:$AD15="pass")+($E15:$AD15="fail"))*$E$4:$AD$4),2)</f>
        <v>14</v>
      </c>
      <c r="AG15" s="6" t="n">
        <f aca="false">IF(OR(ISNUMBER(SEARCH("A8",C15)),AND(ISNUMBER(SEARCH("A0",C15)),ISNUMBER(SEARCH("ETARGET",D15)))),1,0)</f>
        <v>0</v>
      </c>
      <c r="AH15" s="2"/>
      <c r="AI15" s="9" t="s">
        <v>228</v>
      </c>
      <c r="AJ15" s="9" t="s">
        <v>228</v>
      </c>
      <c r="AK15" s="9" t="s">
        <v>228</v>
      </c>
      <c r="AL15" s="9" t="s">
        <v>228</v>
      </c>
      <c r="AM15" s="9" t="s">
        <v>228</v>
      </c>
      <c r="AN15" s="9" t="s">
        <v>228</v>
      </c>
      <c r="AO15" s="9" t="s">
        <v>227</v>
      </c>
      <c r="AP15" s="9" t="s">
        <v>227</v>
      </c>
      <c r="AQ15" s="9" t="s">
        <v>228</v>
      </c>
      <c r="AR15" s="9" t="s">
        <v>228</v>
      </c>
      <c r="AS15" s="6" t="n">
        <f aca="false">IF(COUNTIF(AI15:AR15,"pass")+COUNTIF(AI15:AR15,"fail")=0,"",COUNTIF(AI15:AR15,"pass")/(COUNTIF(AI15:AR15,"pass")+COUNTIF(AI15:AR15,"fail")))</f>
        <v>0.8</v>
      </c>
      <c r="AT15" s="6" t="str">
        <f aca="false">IF(COUNTIF(Runs!$A$2:$A$61,A15)&gt;0,"yes","no, a void attempt")</f>
        <v>yes</v>
      </c>
    </row>
    <row r="16" customFormat="false" ht="15" hidden="false" customHeight="false" outlineLevel="0" collapsed="false">
      <c r="A16" s="9" t="s">
        <v>103</v>
      </c>
      <c r="B16" s="9" t="s">
        <v>105</v>
      </c>
      <c r="C16" s="9" t="s">
        <v>229</v>
      </c>
      <c r="D16" s="9" t="s">
        <v>230</v>
      </c>
      <c r="E16" s="9" t="s">
        <v>227</v>
      </c>
      <c r="F16" s="9" t="s">
        <v>228</v>
      </c>
      <c r="G16" s="9" t="s">
        <v>227</v>
      </c>
      <c r="H16" s="9" t="s">
        <v>227</v>
      </c>
      <c r="I16" s="9" t="s">
        <v>227</v>
      </c>
      <c r="J16" s="9" t="s">
        <v>227</v>
      </c>
      <c r="K16" s="9" t="s">
        <v>228</v>
      </c>
      <c r="L16" s="9" t="s">
        <v>227</v>
      </c>
      <c r="M16" s="9" t="s">
        <v>227</v>
      </c>
      <c r="N16" s="9" t="s">
        <v>227</v>
      </c>
      <c r="O16" s="9" t="s">
        <v>227</v>
      </c>
      <c r="P16" s="9" t="s">
        <v>227</v>
      </c>
      <c r="Q16" s="9" t="s">
        <v>227</v>
      </c>
      <c r="R16" s="9" t="s">
        <v>228</v>
      </c>
      <c r="S16" s="9" t="s">
        <v>227</v>
      </c>
      <c r="T16" s="9" t="s">
        <v>227</v>
      </c>
      <c r="U16" s="9" t="s">
        <v>227</v>
      </c>
      <c r="V16" s="9" t="s">
        <v>227</v>
      </c>
      <c r="W16" s="9" t="s">
        <v>228</v>
      </c>
      <c r="X16" s="9" t="s">
        <v>227</v>
      </c>
      <c r="Y16" s="9" t="s">
        <v>228</v>
      </c>
      <c r="Z16" s="9" t="s">
        <v>227</v>
      </c>
      <c r="AA16" s="9" t="s">
        <v>227</v>
      </c>
      <c r="AB16" s="9" t="s">
        <v>228</v>
      </c>
      <c r="AC16" s="9" t="s">
        <v>227</v>
      </c>
      <c r="AD16" s="9" t="s">
        <v>227</v>
      </c>
      <c r="AE16" s="2"/>
      <c r="AF16" s="6" t="n">
        <f aca="false">ROUND(100*SUMPRODUCT(($E16:$AD16="pass")*$E$4:$AD$4)/SUMPRODUCT((($E16:$AD16="pass")+($E16:$AD16="fail"))*$E$4:$AD$4),2)</f>
        <v>22</v>
      </c>
      <c r="AG16" s="6" t="n">
        <f aca="false">IF(OR(ISNUMBER(SEARCH("A8",C16)),AND(ISNUMBER(SEARCH("A0",C16)),ISNUMBER(SEARCH("ETARGET",D16)))),1,0)</f>
        <v>1</v>
      </c>
      <c r="AH16" s="2"/>
      <c r="AI16" s="9" t="s">
        <v>227</v>
      </c>
      <c r="AJ16" s="9" t="s">
        <v>228</v>
      </c>
      <c r="AK16" s="9" t="s">
        <v>227</v>
      </c>
      <c r="AL16" s="9" t="s">
        <v>227</v>
      </c>
      <c r="AM16" s="9" t="s">
        <v>228</v>
      </c>
      <c r="AN16" s="9" t="s">
        <v>228</v>
      </c>
      <c r="AO16" s="9" t="s">
        <v>228</v>
      </c>
      <c r="AP16" s="9" t="s">
        <v>227</v>
      </c>
      <c r="AQ16" s="9" t="s">
        <v>228</v>
      </c>
      <c r="AR16" s="9" t="s">
        <v>228</v>
      </c>
      <c r="AS16" s="6" t="n">
        <f aca="false">IF(COUNTIF(AI16:AR16,"pass")+COUNTIF(AI16:AR16,"fail")=0,"",COUNTIF(AI16:AR16,"pass")/(COUNTIF(AI16:AR16,"pass")+COUNTIF(AI16:AR16,"fail")))</f>
        <v>0.6</v>
      </c>
      <c r="AT16" s="6" t="str">
        <f aca="false">IF(COUNTIF(Runs!$A$2:$A$61,A16)&gt;0,"yes","no, a void attempt")</f>
        <v>yes</v>
      </c>
    </row>
    <row r="17" customFormat="false" ht="15" hidden="false" customHeight="false" outlineLevel="0" collapsed="false">
      <c r="A17" s="9" t="s">
        <v>110</v>
      </c>
      <c r="B17" s="9" t="s">
        <v>105</v>
      </c>
      <c r="C17" s="9"/>
      <c r="D17" s="9" t="s">
        <v>226</v>
      </c>
      <c r="E17" s="9" t="s">
        <v>227</v>
      </c>
      <c r="F17" s="9" t="s">
        <v>227</v>
      </c>
      <c r="G17" s="9" t="s">
        <v>227</v>
      </c>
      <c r="H17" s="9" t="s">
        <v>227</v>
      </c>
      <c r="I17" s="9" t="s">
        <v>228</v>
      </c>
      <c r="J17" s="9" t="s">
        <v>227</v>
      </c>
      <c r="K17" s="9" t="s">
        <v>227</v>
      </c>
      <c r="L17" s="9" t="s">
        <v>227</v>
      </c>
      <c r="M17" s="9" t="s">
        <v>227</v>
      </c>
      <c r="N17" s="9" t="s">
        <v>227</v>
      </c>
      <c r="O17" s="9" t="s">
        <v>227</v>
      </c>
      <c r="P17" s="9" t="s">
        <v>227</v>
      </c>
      <c r="Q17" s="9" t="s">
        <v>227</v>
      </c>
      <c r="R17" s="9" t="s">
        <v>227</v>
      </c>
      <c r="S17" s="9" t="s">
        <v>227</v>
      </c>
      <c r="T17" s="9" t="s">
        <v>227</v>
      </c>
      <c r="U17" s="9" t="s">
        <v>227</v>
      </c>
      <c r="V17" s="9" t="s">
        <v>227</v>
      </c>
      <c r="W17" s="9" t="s">
        <v>227</v>
      </c>
      <c r="X17" s="9" t="s">
        <v>228</v>
      </c>
      <c r="Y17" s="9" t="s">
        <v>227</v>
      </c>
      <c r="Z17" s="9" t="s">
        <v>227</v>
      </c>
      <c r="AA17" s="9" t="s">
        <v>228</v>
      </c>
      <c r="AB17" s="9" t="s">
        <v>227</v>
      </c>
      <c r="AC17" s="9" t="s">
        <v>227</v>
      </c>
      <c r="AD17" s="9" t="s">
        <v>227</v>
      </c>
      <c r="AE17" s="2"/>
      <c r="AF17" s="6" t="n">
        <f aca="false">ROUND(100*SUMPRODUCT(($E17:$AD17="pass")*$E$4:$AD$4)/SUMPRODUCT((($E17:$AD17="pass")+($E17:$AD17="fail"))*$E$4:$AD$4),2)</f>
        <v>14</v>
      </c>
      <c r="AG17" s="6" t="n">
        <f aca="false">IF(OR(ISNUMBER(SEARCH("A8",C17)),AND(ISNUMBER(SEARCH("A0",C17)),ISNUMBER(SEARCH("ETARGET",D17)))),1,0)</f>
        <v>0</v>
      </c>
      <c r="AH17" s="2"/>
      <c r="AI17" s="9" t="s">
        <v>228</v>
      </c>
      <c r="AJ17" s="9" t="s">
        <v>228</v>
      </c>
      <c r="AK17" s="9" t="s">
        <v>228</v>
      </c>
      <c r="AL17" s="9" t="s">
        <v>227</v>
      </c>
      <c r="AM17" s="9" t="s">
        <v>227</v>
      </c>
      <c r="AN17" s="9" t="s">
        <v>228</v>
      </c>
      <c r="AO17" s="9" t="s">
        <v>227</v>
      </c>
      <c r="AP17" s="9" t="s">
        <v>228</v>
      </c>
      <c r="AQ17" s="9" t="s">
        <v>228</v>
      </c>
      <c r="AR17" s="9" t="s">
        <v>227</v>
      </c>
      <c r="AS17" s="6" t="n">
        <f aca="false">IF(COUNTIF(AI17:AR17,"pass")+COUNTIF(AI17:AR17,"fail")=0,"",COUNTIF(AI17:AR17,"pass")/(COUNTIF(AI17:AR17,"pass")+COUNTIF(AI17:AR17,"fail")))</f>
        <v>0.6</v>
      </c>
      <c r="AT17" s="6" t="str">
        <f aca="false">IF(COUNTIF(Runs!$A$2:$A$61,A17)&gt;0,"yes","no, a void attempt")</f>
        <v>yes</v>
      </c>
    </row>
    <row r="18" customFormat="false" ht="15" hidden="false" customHeight="false" outlineLevel="0" collapsed="false">
      <c r="A18" s="9" t="s">
        <v>125</v>
      </c>
      <c r="B18" s="9" t="s">
        <v>105</v>
      </c>
      <c r="C18" s="9"/>
      <c r="D18" s="9" t="s">
        <v>226</v>
      </c>
      <c r="E18" s="9" t="s">
        <v>227</v>
      </c>
      <c r="F18" s="9" t="s">
        <v>227</v>
      </c>
      <c r="G18" s="9" t="s">
        <v>227</v>
      </c>
      <c r="H18" s="9" t="s">
        <v>227</v>
      </c>
      <c r="I18" s="9" t="s">
        <v>228</v>
      </c>
      <c r="J18" s="9" t="s">
        <v>227</v>
      </c>
      <c r="K18" s="9" t="s">
        <v>227</v>
      </c>
      <c r="L18" s="9" t="s">
        <v>227</v>
      </c>
      <c r="M18" s="9" t="s">
        <v>227</v>
      </c>
      <c r="N18" s="9" t="s">
        <v>227</v>
      </c>
      <c r="O18" s="9" t="s">
        <v>227</v>
      </c>
      <c r="P18" s="9" t="s">
        <v>227</v>
      </c>
      <c r="Q18" s="9" t="s">
        <v>227</v>
      </c>
      <c r="R18" s="9" t="s">
        <v>227</v>
      </c>
      <c r="S18" s="9" t="s">
        <v>227</v>
      </c>
      <c r="T18" s="9" t="s">
        <v>227</v>
      </c>
      <c r="U18" s="9" t="s">
        <v>227</v>
      </c>
      <c r="V18" s="9" t="s">
        <v>227</v>
      </c>
      <c r="W18" s="9" t="s">
        <v>227</v>
      </c>
      <c r="X18" s="9" t="s">
        <v>227</v>
      </c>
      <c r="Y18" s="9" t="s">
        <v>227</v>
      </c>
      <c r="Z18" s="9" t="s">
        <v>227</v>
      </c>
      <c r="AA18" s="9" t="s">
        <v>227</v>
      </c>
      <c r="AB18" s="9" t="s">
        <v>227</v>
      </c>
      <c r="AC18" s="9" t="s">
        <v>228</v>
      </c>
      <c r="AD18" s="9" t="s">
        <v>227</v>
      </c>
      <c r="AE18" s="2"/>
      <c r="AF18" s="6" t="n">
        <f aca="false">ROUND(100*SUMPRODUCT(($E18:$AD18="pass")*$E$4:$AD$4)/SUMPRODUCT((($E18:$AD18="pass")+($E18:$AD18="fail"))*$E$4:$AD$4),2)</f>
        <v>6</v>
      </c>
      <c r="AG18" s="6" t="n">
        <f aca="false">IF(OR(ISNUMBER(SEARCH("A8",C18)),AND(ISNUMBER(SEARCH("A0",C18)),ISNUMBER(SEARCH("ETARGET",D18)))),1,0)</f>
        <v>0</v>
      </c>
      <c r="AH18" s="2"/>
      <c r="AI18" s="9" t="s">
        <v>227</v>
      </c>
      <c r="AJ18" s="9" t="s">
        <v>228</v>
      </c>
      <c r="AK18" s="9" t="s">
        <v>228</v>
      </c>
      <c r="AL18" s="9" t="s">
        <v>227</v>
      </c>
      <c r="AM18" s="9" t="s">
        <v>228</v>
      </c>
      <c r="AN18" s="9" t="s">
        <v>227</v>
      </c>
      <c r="AO18" s="9" t="s">
        <v>228</v>
      </c>
      <c r="AP18" s="9" t="s">
        <v>227</v>
      </c>
      <c r="AQ18" s="9" t="s">
        <v>228</v>
      </c>
      <c r="AR18" s="9" t="s">
        <v>228</v>
      </c>
      <c r="AS18" s="6" t="n">
        <f aca="false">IF(COUNTIF(AI18:AR18,"pass")+COUNTIF(AI18:AR18,"fail")=0,"",COUNTIF(AI18:AR18,"pass")/(COUNTIF(AI18:AR18,"pass")+COUNTIF(AI18:AR18,"fail")))</f>
        <v>0.6</v>
      </c>
      <c r="AT18" s="6" t="str">
        <f aca="false">IF(COUNTIF(Runs!$A$2:$A$61,A18)&gt;0,"yes","no, a void attempt")</f>
        <v>yes</v>
      </c>
    </row>
    <row r="19" customFormat="false" ht="15" hidden="false" customHeight="false" outlineLevel="0" collapsed="false">
      <c r="A19" s="9" t="s">
        <v>167</v>
      </c>
      <c r="B19" s="9" t="s">
        <v>105</v>
      </c>
      <c r="C19" s="9"/>
      <c r="D19" s="9" t="s">
        <v>226</v>
      </c>
      <c r="E19" s="9" t="s">
        <v>228</v>
      </c>
      <c r="F19" s="9" t="s">
        <v>228</v>
      </c>
      <c r="G19" s="9" t="s">
        <v>228</v>
      </c>
      <c r="H19" s="9" t="s">
        <v>228</v>
      </c>
      <c r="I19" s="9" t="s">
        <v>228</v>
      </c>
      <c r="J19" s="9" t="s">
        <v>228</v>
      </c>
      <c r="K19" s="9" t="s">
        <v>228</v>
      </c>
      <c r="L19" s="9" t="s">
        <v>228</v>
      </c>
      <c r="M19" s="9" t="s">
        <v>228</v>
      </c>
      <c r="N19" s="9" t="s">
        <v>228</v>
      </c>
      <c r="O19" s="9" t="s">
        <v>228</v>
      </c>
      <c r="P19" s="9" t="s">
        <v>228</v>
      </c>
      <c r="Q19" s="9" t="s">
        <v>228</v>
      </c>
      <c r="R19" s="9" t="s">
        <v>227</v>
      </c>
      <c r="S19" s="9" t="s">
        <v>228</v>
      </c>
      <c r="T19" s="9" t="s">
        <v>228</v>
      </c>
      <c r="U19" s="9" t="s">
        <v>228</v>
      </c>
      <c r="V19" s="9" t="s">
        <v>228</v>
      </c>
      <c r="W19" s="9" t="s">
        <v>228</v>
      </c>
      <c r="X19" s="9" t="s">
        <v>228</v>
      </c>
      <c r="Y19" s="9" t="s">
        <v>228</v>
      </c>
      <c r="Z19" s="9" t="s">
        <v>228</v>
      </c>
      <c r="AA19" s="9" t="s">
        <v>228</v>
      </c>
      <c r="AB19" s="9" t="s">
        <v>228</v>
      </c>
      <c r="AC19" s="9" t="s">
        <v>228</v>
      </c>
      <c r="AD19" s="9" t="s">
        <v>228</v>
      </c>
      <c r="AE19" s="2"/>
      <c r="AF19" s="6" t="n">
        <f aca="false">ROUND(100*SUMPRODUCT(($E19:$AD19="pass")*$E$4:$AD$4)/SUMPRODUCT((($E19:$AD19="pass")+($E19:$AD19="fail"))*$E$4:$AD$4),2)</f>
        <v>94</v>
      </c>
      <c r="AG19" s="6" t="n">
        <f aca="false">IF(OR(ISNUMBER(SEARCH("A8",C19)),AND(ISNUMBER(SEARCH("A0",C19)),ISNUMBER(SEARCH("ETARGET",D19)))),1,0)</f>
        <v>0</v>
      </c>
      <c r="AH19" s="2"/>
      <c r="AI19" s="9" t="s">
        <v>228</v>
      </c>
      <c r="AJ19" s="9" t="s">
        <v>228</v>
      </c>
      <c r="AK19" s="9" t="s">
        <v>227</v>
      </c>
      <c r="AL19" s="9" t="s">
        <v>228</v>
      </c>
      <c r="AM19" s="9" t="s">
        <v>228</v>
      </c>
      <c r="AN19" s="9" t="s">
        <v>227</v>
      </c>
      <c r="AO19" s="9" t="s">
        <v>228</v>
      </c>
      <c r="AP19" s="9" t="s">
        <v>228</v>
      </c>
      <c r="AQ19" s="9" t="s">
        <v>228</v>
      </c>
      <c r="AR19" s="9" t="s">
        <v>227</v>
      </c>
      <c r="AS19" s="6" t="n">
        <f aca="false">IF(COUNTIF(AI19:AR19,"pass")+COUNTIF(AI19:AR19,"fail")=0,"",COUNTIF(AI19:AR19,"pass")/(COUNTIF(AI19:AR19,"pass")+COUNTIF(AI19:AR19,"fail")))</f>
        <v>0.7</v>
      </c>
      <c r="AT19" s="6" t="str">
        <f aca="false">IF(COUNTIF(Runs!$A$2:$A$61,A19)&gt;0,"yes","no, a void attempt")</f>
        <v>yes</v>
      </c>
    </row>
    <row r="20" customFormat="false" ht="15" hidden="false" customHeight="false" outlineLevel="0" collapsed="false">
      <c r="A20" s="9" t="s">
        <v>164</v>
      </c>
      <c r="B20" s="9" t="s">
        <v>105</v>
      </c>
      <c r="C20" s="9"/>
      <c r="D20" s="9" t="s">
        <v>226</v>
      </c>
      <c r="E20" s="9" t="s">
        <v>228</v>
      </c>
      <c r="F20" s="9" t="s">
        <v>228</v>
      </c>
      <c r="G20" s="9" t="s">
        <v>228</v>
      </c>
      <c r="H20" s="9" t="s">
        <v>228</v>
      </c>
      <c r="I20" s="9" t="s">
        <v>228</v>
      </c>
      <c r="J20" s="9" t="s">
        <v>228</v>
      </c>
      <c r="K20" s="9" t="s">
        <v>228</v>
      </c>
      <c r="L20" s="9" t="s">
        <v>228</v>
      </c>
      <c r="M20" s="9" t="s">
        <v>228</v>
      </c>
      <c r="N20" s="9" t="s">
        <v>228</v>
      </c>
      <c r="O20" s="9" t="s">
        <v>228</v>
      </c>
      <c r="P20" s="9" t="s">
        <v>228</v>
      </c>
      <c r="Q20" s="9" t="s">
        <v>228</v>
      </c>
      <c r="R20" s="9" t="s">
        <v>228</v>
      </c>
      <c r="S20" s="9" t="s">
        <v>227</v>
      </c>
      <c r="T20" s="9" t="s">
        <v>228</v>
      </c>
      <c r="U20" s="9" t="s">
        <v>227</v>
      </c>
      <c r="V20" s="9" t="s">
        <v>227</v>
      </c>
      <c r="W20" s="9" t="s">
        <v>228</v>
      </c>
      <c r="X20" s="9" t="s">
        <v>228</v>
      </c>
      <c r="Y20" s="9" t="s">
        <v>228</v>
      </c>
      <c r="Z20" s="9" t="s">
        <v>228</v>
      </c>
      <c r="AA20" s="9" t="s">
        <v>227</v>
      </c>
      <c r="AB20" s="9" t="s">
        <v>228</v>
      </c>
      <c r="AC20" s="9" t="s">
        <v>228</v>
      </c>
      <c r="AD20" s="9" t="s">
        <v>228</v>
      </c>
      <c r="AE20" s="2"/>
      <c r="AF20" s="6" t="n">
        <f aca="false">ROUND(100*SUMPRODUCT(($E20:$AD20="pass")*$E$4:$AD$4)/SUMPRODUCT((($E20:$AD20="pass")+($E20:$AD20="fail"))*$E$4:$AD$4),2)</f>
        <v>82</v>
      </c>
      <c r="AG20" s="6" t="n">
        <f aca="false">IF(OR(ISNUMBER(SEARCH("A8",C20)),AND(ISNUMBER(SEARCH("A0",C20)),ISNUMBER(SEARCH("ETARGET",D20)))),1,0)</f>
        <v>0</v>
      </c>
      <c r="AH20" s="2"/>
      <c r="AI20" s="9" t="s">
        <v>227</v>
      </c>
      <c r="AJ20" s="9" t="s">
        <v>228</v>
      </c>
      <c r="AK20" s="9" t="s">
        <v>228</v>
      </c>
      <c r="AL20" s="9" t="s">
        <v>228</v>
      </c>
      <c r="AM20" s="9" t="s">
        <v>228</v>
      </c>
      <c r="AN20" s="9" t="s">
        <v>228</v>
      </c>
      <c r="AO20" s="9" t="s">
        <v>227</v>
      </c>
      <c r="AP20" s="9" t="s">
        <v>227</v>
      </c>
      <c r="AQ20" s="9" t="s">
        <v>228</v>
      </c>
      <c r="AR20" s="9" t="s">
        <v>228</v>
      </c>
      <c r="AS20" s="6" t="n">
        <f aca="false">IF(COUNTIF(AI20:AR20,"pass")+COUNTIF(AI20:AR20,"fail")=0,"",COUNTIF(AI20:AR20,"pass")/(COUNTIF(AI20:AR20,"pass")+COUNTIF(AI20:AR20,"fail")))</f>
        <v>0.7</v>
      </c>
      <c r="AT20" s="6" t="str">
        <f aca="false">IF(COUNTIF(Runs!$A$2:$A$61,A20)&gt;0,"yes","no, a void attempt")</f>
        <v>yes</v>
      </c>
    </row>
    <row r="21" customFormat="false" ht="15" hidden="false" customHeight="false" outlineLevel="0" collapsed="false">
      <c r="A21" s="9" t="s">
        <v>168</v>
      </c>
      <c r="B21" s="9" t="s">
        <v>105</v>
      </c>
      <c r="C21" s="9" t="s">
        <v>231</v>
      </c>
      <c r="D21" s="9" t="s">
        <v>232</v>
      </c>
      <c r="E21" s="9" t="s">
        <v>227</v>
      </c>
      <c r="F21" s="9" t="s">
        <v>228</v>
      </c>
      <c r="G21" s="9" t="s">
        <v>228</v>
      </c>
      <c r="H21" s="9" t="s">
        <v>228</v>
      </c>
      <c r="I21" s="9" t="s">
        <v>228</v>
      </c>
      <c r="J21" s="9" t="s">
        <v>227</v>
      </c>
      <c r="K21" s="9" t="s">
        <v>228</v>
      </c>
      <c r="L21" s="9" t="s">
        <v>228</v>
      </c>
      <c r="M21" s="9" t="s">
        <v>227</v>
      </c>
      <c r="N21" s="9" t="s">
        <v>228</v>
      </c>
      <c r="O21" s="9" t="s">
        <v>228</v>
      </c>
      <c r="P21" s="9" t="s">
        <v>228</v>
      </c>
      <c r="Q21" s="9" t="s">
        <v>228</v>
      </c>
      <c r="R21" s="9" t="s">
        <v>228</v>
      </c>
      <c r="S21" s="9" t="s">
        <v>228</v>
      </c>
      <c r="T21" s="9" t="s">
        <v>228</v>
      </c>
      <c r="U21" s="9" t="s">
        <v>228</v>
      </c>
      <c r="V21" s="9" t="s">
        <v>228</v>
      </c>
      <c r="W21" s="9" t="s">
        <v>227</v>
      </c>
      <c r="X21" s="9" t="s">
        <v>228</v>
      </c>
      <c r="Y21" s="9" t="s">
        <v>228</v>
      </c>
      <c r="Z21" s="9" t="s">
        <v>228</v>
      </c>
      <c r="AA21" s="9" t="s">
        <v>228</v>
      </c>
      <c r="AB21" s="9" t="s">
        <v>228</v>
      </c>
      <c r="AC21" s="9" t="s">
        <v>228</v>
      </c>
      <c r="AD21" s="9" t="s">
        <v>228</v>
      </c>
      <c r="AE21" s="2"/>
      <c r="AF21" s="6" t="n">
        <f aca="false">ROUND(100*SUMPRODUCT(($E21:$AD21="pass")*$E$4:$AD$4)/SUMPRODUCT((($E21:$AD21="pass")+($E21:$AD21="fail"))*$E$4:$AD$4),2)</f>
        <v>92</v>
      </c>
      <c r="AG21" s="6" t="n">
        <f aca="false">IF(OR(ISNUMBER(SEARCH("A8",C21)),AND(ISNUMBER(SEARCH("A0",C21)),ISNUMBER(SEARCH("ETARGET",D21)))),1,0)</f>
        <v>1</v>
      </c>
      <c r="AH21" s="2"/>
      <c r="AI21" s="9" t="s">
        <v>227</v>
      </c>
      <c r="AJ21" s="9" t="s">
        <v>228</v>
      </c>
      <c r="AK21" s="9" t="s">
        <v>228</v>
      </c>
      <c r="AL21" s="9" t="s">
        <v>228</v>
      </c>
      <c r="AM21" s="9" t="s">
        <v>228</v>
      </c>
      <c r="AN21" s="9" t="s">
        <v>228</v>
      </c>
      <c r="AO21" s="9" t="s">
        <v>227</v>
      </c>
      <c r="AP21" s="9" t="s">
        <v>227</v>
      </c>
      <c r="AQ21" s="9" t="s">
        <v>228</v>
      </c>
      <c r="AR21" s="9" t="s">
        <v>227</v>
      </c>
      <c r="AS21" s="6" t="n">
        <f aca="false">IF(COUNTIF(AI21:AR21,"pass")+COUNTIF(AI21:AR21,"fail")=0,"",COUNTIF(AI21:AR21,"pass")/(COUNTIF(AI21:AR21,"pass")+COUNTIF(AI21:AR21,"fail")))</f>
        <v>0.6</v>
      </c>
      <c r="AT21" s="6" t="str">
        <f aca="false">IF(COUNTIF(Runs!$A$2:$A$61,A21)&gt;0,"yes","no, a void attempt")</f>
        <v>yes</v>
      </c>
    </row>
    <row r="22" customFormat="false" ht="15" hidden="false" customHeight="false" outlineLevel="0" collapsed="false">
      <c r="A22" s="9" t="s">
        <v>158</v>
      </c>
      <c r="B22" s="9" t="s">
        <v>105</v>
      </c>
      <c r="C22" s="9"/>
      <c r="D22" s="9" t="s">
        <v>226</v>
      </c>
      <c r="E22" s="9" t="s">
        <v>227</v>
      </c>
      <c r="F22" s="9" t="s">
        <v>228</v>
      </c>
      <c r="G22" s="9" t="s">
        <v>228</v>
      </c>
      <c r="H22" s="9" t="s">
        <v>228</v>
      </c>
      <c r="I22" s="9" t="s">
        <v>228</v>
      </c>
      <c r="J22" s="9" t="s">
        <v>228</v>
      </c>
      <c r="K22" s="9" t="s">
        <v>228</v>
      </c>
      <c r="L22" s="9" t="s">
        <v>228</v>
      </c>
      <c r="M22" s="9" t="s">
        <v>228</v>
      </c>
      <c r="N22" s="9" t="s">
        <v>227</v>
      </c>
      <c r="O22" s="9" t="s">
        <v>228</v>
      </c>
      <c r="P22" s="9" t="s">
        <v>228</v>
      </c>
      <c r="Q22" s="9" t="s">
        <v>228</v>
      </c>
      <c r="R22" s="9" t="s">
        <v>228</v>
      </c>
      <c r="S22" s="9" t="s">
        <v>228</v>
      </c>
      <c r="T22" s="9" t="s">
        <v>227</v>
      </c>
      <c r="U22" s="9" t="s">
        <v>228</v>
      </c>
      <c r="V22" s="9" t="s">
        <v>228</v>
      </c>
      <c r="W22" s="9" t="s">
        <v>228</v>
      </c>
      <c r="X22" s="9" t="s">
        <v>228</v>
      </c>
      <c r="Y22" s="9" t="s">
        <v>228</v>
      </c>
      <c r="Z22" s="9" t="s">
        <v>227</v>
      </c>
      <c r="AA22" s="9" t="s">
        <v>228</v>
      </c>
      <c r="AB22" s="9" t="s">
        <v>228</v>
      </c>
      <c r="AC22" s="9" t="s">
        <v>228</v>
      </c>
      <c r="AD22" s="9" t="s">
        <v>228</v>
      </c>
      <c r="AE22" s="2"/>
      <c r="AF22" s="6" t="n">
        <f aca="false">ROUND(100*SUMPRODUCT(($E22:$AD22="pass")*$E$4:$AD$4)/SUMPRODUCT((($E22:$AD22="pass")+($E22:$AD22="fail"))*$E$4:$AD$4),2)</f>
        <v>86</v>
      </c>
      <c r="AG22" s="6" t="n">
        <f aca="false">IF(OR(ISNUMBER(SEARCH("A8",C22)),AND(ISNUMBER(SEARCH("A0",C22)),ISNUMBER(SEARCH("ETARGET",D22)))),1,0)</f>
        <v>0</v>
      </c>
      <c r="AH22" s="2"/>
      <c r="AI22" s="9" t="s">
        <v>227</v>
      </c>
      <c r="AJ22" s="9" t="s">
        <v>228</v>
      </c>
      <c r="AK22" s="9" t="s">
        <v>227</v>
      </c>
      <c r="AL22" s="9" t="s">
        <v>227</v>
      </c>
      <c r="AM22" s="9" t="s">
        <v>228</v>
      </c>
      <c r="AN22" s="9" t="s">
        <v>228</v>
      </c>
      <c r="AO22" s="9" t="s">
        <v>228</v>
      </c>
      <c r="AP22" s="9" t="s">
        <v>228</v>
      </c>
      <c r="AQ22" s="9" t="s">
        <v>228</v>
      </c>
      <c r="AR22" s="9" t="s">
        <v>228</v>
      </c>
      <c r="AS22" s="6" t="n">
        <f aca="false">IF(COUNTIF(AI22:AR22,"pass")+COUNTIF(AI22:AR22,"fail")=0,"",COUNTIF(AI22:AR22,"pass")/(COUNTIF(AI22:AR22,"pass")+COUNTIF(AI22:AR22,"fail")))</f>
        <v>0.7</v>
      </c>
      <c r="AT22" s="6" t="str">
        <f aca="false">IF(COUNTIF(Runs!$A$2:$A$61,A22)&gt;0,"yes","no, a void attempt")</f>
        <v>yes</v>
      </c>
    </row>
    <row r="23" customFormat="false" ht="15" hidden="false" customHeight="false" outlineLevel="0" collapsed="false">
      <c r="A23" s="9" t="s">
        <v>119</v>
      </c>
      <c r="B23" s="9" t="s">
        <v>105</v>
      </c>
      <c r="C23" s="9"/>
      <c r="D23" s="9" t="s">
        <v>226</v>
      </c>
      <c r="E23" s="9" t="s">
        <v>228</v>
      </c>
      <c r="F23" s="9" t="s">
        <v>228</v>
      </c>
      <c r="G23" s="9" t="s">
        <v>228</v>
      </c>
      <c r="H23" s="9" t="s">
        <v>227</v>
      </c>
      <c r="I23" s="9" t="s">
        <v>228</v>
      </c>
      <c r="J23" s="9" t="s">
        <v>228</v>
      </c>
      <c r="K23" s="9" t="s">
        <v>228</v>
      </c>
      <c r="L23" s="9" t="s">
        <v>228</v>
      </c>
      <c r="M23" s="9" t="s">
        <v>227</v>
      </c>
      <c r="N23" s="9" t="s">
        <v>228</v>
      </c>
      <c r="O23" s="9" t="s">
        <v>228</v>
      </c>
      <c r="P23" s="9" t="s">
        <v>227</v>
      </c>
      <c r="Q23" s="9" t="s">
        <v>228</v>
      </c>
      <c r="R23" s="9" t="s">
        <v>228</v>
      </c>
      <c r="S23" s="9" t="s">
        <v>228</v>
      </c>
      <c r="T23" s="9" t="s">
        <v>228</v>
      </c>
      <c r="U23" s="9" t="s">
        <v>228</v>
      </c>
      <c r="V23" s="9" t="s">
        <v>228</v>
      </c>
      <c r="W23" s="9" t="s">
        <v>228</v>
      </c>
      <c r="X23" s="9" t="s">
        <v>228</v>
      </c>
      <c r="Y23" s="9" t="s">
        <v>228</v>
      </c>
      <c r="Z23" s="9" t="s">
        <v>228</v>
      </c>
      <c r="AA23" s="9" t="s">
        <v>228</v>
      </c>
      <c r="AB23" s="9" t="s">
        <v>228</v>
      </c>
      <c r="AC23" s="9" t="s">
        <v>228</v>
      </c>
      <c r="AD23" s="9" t="s">
        <v>228</v>
      </c>
      <c r="AE23" s="2"/>
      <c r="AF23" s="6" t="n">
        <f aca="false">ROUND(100*SUMPRODUCT(($E23:$AD23="pass")*$E$4:$AD$4)/SUMPRODUCT((($E23:$AD23="pass")+($E23:$AD23="fail"))*$E$4:$AD$4),2)</f>
        <v>90</v>
      </c>
      <c r="AG23" s="6" t="n">
        <f aca="false">IF(OR(ISNUMBER(SEARCH("A8",C23)),AND(ISNUMBER(SEARCH("A0",C23)),ISNUMBER(SEARCH("ETARGET",D23)))),1,0)</f>
        <v>0</v>
      </c>
      <c r="AH23" s="2"/>
      <c r="AI23" s="9" t="s">
        <v>228</v>
      </c>
      <c r="AJ23" s="9" t="s">
        <v>228</v>
      </c>
      <c r="AK23" s="9" t="s">
        <v>228</v>
      </c>
      <c r="AL23" s="9" t="s">
        <v>228</v>
      </c>
      <c r="AM23" s="9" t="s">
        <v>228</v>
      </c>
      <c r="AN23" s="9" t="s">
        <v>228</v>
      </c>
      <c r="AO23" s="9" t="s">
        <v>228</v>
      </c>
      <c r="AP23" s="9" t="s">
        <v>228</v>
      </c>
      <c r="AQ23" s="9" t="s">
        <v>228</v>
      </c>
      <c r="AR23" s="9" t="s">
        <v>228</v>
      </c>
      <c r="AS23" s="6" t="n">
        <f aca="false">IF(COUNTIF(AI23:AR23,"pass")+COUNTIF(AI23:AR23,"fail")=0,"",COUNTIF(AI23:AR23,"pass")/(COUNTIF(AI23:AR23,"pass")+COUNTIF(AI23:AR23,"fail")))</f>
        <v>1</v>
      </c>
      <c r="AT23" s="6" t="str">
        <f aca="false">IF(COUNTIF(Runs!$A$2:$A$61,A23)&gt;0,"yes","no, a void attempt")</f>
        <v>yes</v>
      </c>
    </row>
    <row r="24" customFormat="false" ht="15" hidden="false" customHeight="false" outlineLevel="0" collapsed="false">
      <c r="A24" s="9" t="s">
        <v>117</v>
      </c>
      <c r="B24" s="9" t="s">
        <v>105</v>
      </c>
      <c r="C24" s="9"/>
      <c r="D24" s="9" t="s">
        <v>226</v>
      </c>
      <c r="E24" s="9" t="s">
        <v>228</v>
      </c>
      <c r="F24" s="9" t="s">
        <v>228</v>
      </c>
      <c r="G24" s="9" t="s">
        <v>228</v>
      </c>
      <c r="H24" s="9" t="s">
        <v>228</v>
      </c>
      <c r="I24" s="9" t="s">
        <v>228</v>
      </c>
      <c r="J24" s="9" t="s">
        <v>228</v>
      </c>
      <c r="K24" s="9" t="s">
        <v>228</v>
      </c>
      <c r="L24" s="9" t="s">
        <v>228</v>
      </c>
      <c r="M24" s="9" t="s">
        <v>227</v>
      </c>
      <c r="N24" s="9" t="s">
        <v>228</v>
      </c>
      <c r="O24" s="9" t="s">
        <v>228</v>
      </c>
      <c r="P24" s="9" t="s">
        <v>228</v>
      </c>
      <c r="Q24" s="9" t="s">
        <v>228</v>
      </c>
      <c r="R24" s="9" t="s">
        <v>228</v>
      </c>
      <c r="S24" s="9" t="s">
        <v>228</v>
      </c>
      <c r="T24" s="9" t="s">
        <v>228</v>
      </c>
      <c r="U24" s="9" t="s">
        <v>228</v>
      </c>
      <c r="V24" s="9" t="s">
        <v>228</v>
      </c>
      <c r="W24" s="9" t="s">
        <v>228</v>
      </c>
      <c r="X24" s="9" t="s">
        <v>228</v>
      </c>
      <c r="Y24" s="9" t="s">
        <v>228</v>
      </c>
      <c r="Z24" s="9" t="s">
        <v>227</v>
      </c>
      <c r="AA24" s="9" t="s">
        <v>228</v>
      </c>
      <c r="AB24" s="9" t="s">
        <v>228</v>
      </c>
      <c r="AC24" s="9" t="s">
        <v>228</v>
      </c>
      <c r="AD24" s="9" t="s">
        <v>228</v>
      </c>
      <c r="AE24" s="2"/>
      <c r="AF24" s="6" t="n">
        <f aca="false">ROUND(100*SUMPRODUCT(($E24:$AD24="pass")*$E$4:$AD$4)/SUMPRODUCT((($E24:$AD24="pass")+($E24:$AD24="fail"))*$E$4:$AD$4),2)</f>
        <v>94</v>
      </c>
      <c r="AG24" s="6" t="n">
        <f aca="false">IF(OR(ISNUMBER(SEARCH("A8",C24)),AND(ISNUMBER(SEARCH("A0",C24)),ISNUMBER(SEARCH("ETARGET",D24)))),1,0)</f>
        <v>0</v>
      </c>
      <c r="AH24" s="2"/>
      <c r="AI24" s="9" t="s">
        <v>228</v>
      </c>
      <c r="AJ24" s="9" t="s">
        <v>228</v>
      </c>
      <c r="AK24" s="9" t="s">
        <v>227</v>
      </c>
      <c r="AL24" s="9" t="s">
        <v>228</v>
      </c>
      <c r="AM24" s="9" t="s">
        <v>228</v>
      </c>
      <c r="AN24" s="9" t="s">
        <v>228</v>
      </c>
      <c r="AO24" s="9" t="s">
        <v>228</v>
      </c>
      <c r="AP24" s="9" t="s">
        <v>227</v>
      </c>
      <c r="AQ24" s="9" t="s">
        <v>227</v>
      </c>
      <c r="AR24" s="9" t="s">
        <v>227</v>
      </c>
      <c r="AS24" s="6" t="n">
        <f aca="false">IF(COUNTIF(AI24:AR24,"pass")+COUNTIF(AI24:AR24,"fail")=0,"",COUNTIF(AI24:AR24,"pass")/(COUNTIF(AI24:AR24,"pass")+COUNTIF(AI24:AR24,"fail")))</f>
        <v>0.6</v>
      </c>
      <c r="AT24" s="6" t="str">
        <f aca="false">IF(COUNTIF(Runs!$A$2:$A$61,A24)&gt;0,"yes","no, a void attempt")</f>
        <v>yes</v>
      </c>
    </row>
    <row r="25" customFormat="false" ht="15" hidden="false" customHeight="false" outlineLevel="0" collapsed="false">
      <c r="A25" s="9" t="s">
        <v>165</v>
      </c>
      <c r="B25" s="9" t="s">
        <v>105</v>
      </c>
      <c r="C25" s="9"/>
      <c r="D25" s="9" t="s">
        <v>226</v>
      </c>
      <c r="E25" s="9" t="s">
        <v>227</v>
      </c>
      <c r="F25" s="9" t="s">
        <v>227</v>
      </c>
      <c r="G25" s="9" t="s">
        <v>227</v>
      </c>
      <c r="H25" s="9" t="s">
        <v>227</v>
      </c>
      <c r="I25" s="9" t="s">
        <v>227</v>
      </c>
      <c r="J25" s="9" t="s">
        <v>227</v>
      </c>
      <c r="K25" s="9" t="s">
        <v>227</v>
      </c>
      <c r="L25" s="9" t="s">
        <v>228</v>
      </c>
      <c r="M25" s="9" t="s">
        <v>227</v>
      </c>
      <c r="N25" s="9" t="s">
        <v>227</v>
      </c>
      <c r="O25" s="9" t="s">
        <v>227</v>
      </c>
      <c r="P25" s="9" t="s">
        <v>227</v>
      </c>
      <c r="Q25" s="9" t="s">
        <v>227</v>
      </c>
      <c r="R25" s="9" t="s">
        <v>227</v>
      </c>
      <c r="S25" s="9" t="s">
        <v>227</v>
      </c>
      <c r="T25" s="9" t="s">
        <v>227</v>
      </c>
      <c r="U25" s="9" t="s">
        <v>227</v>
      </c>
      <c r="V25" s="9" t="s">
        <v>227</v>
      </c>
      <c r="W25" s="9" t="s">
        <v>227</v>
      </c>
      <c r="X25" s="9" t="s">
        <v>228</v>
      </c>
      <c r="Y25" s="9" t="s">
        <v>227</v>
      </c>
      <c r="Z25" s="9" t="s">
        <v>227</v>
      </c>
      <c r="AA25" s="9" t="s">
        <v>227</v>
      </c>
      <c r="AB25" s="9" t="s">
        <v>227</v>
      </c>
      <c r="AC25" s="9" t="s">
        <v>227</v>
      </c>
      <c r="AD25" s="9" t="s">
        <v>227</v>
      </c>
      <c r="AE25" s="2"/>
      <c r="AF25" s="6" t="n">
        <f aca="false">ROUND(100*SUMPRODUCT(($E25:$AD25="pass")*$E$4:$AD$4)/SUMPRODUCT((($E25:$AD25="pass")+($E25:$AD25="fail"))*$E$4:$AD$4),2)</f>
        <v>8</v>
      </c>
      <c r="AG25" s="6" t="n">
        <f aca="false">IF(OR(ISNUMBER(SEARCH("A8",C25)),AND(ISNUMBER(SEARCH("A0",C25)),ISNUMBER(SEARCH("ETARGET",D25)))),1,0)</f>
        <v>0</v>
      </c>
      <c r="AH25" s="2"/>
      <c r="AI25" s="9" t="s">
        <v>227</v>
      </c>
      <c r="AJ25" s="9" t="s">
        <v>228</v>
      </c>
      <c r="AK25" s="9" t="s">
        <v>228</v>
      </c>
      <c r="AL25" s="9" t="s">
        <v>228</v>
      </c>
      <c r="AM25" s="9" t="s">
        <v>228</v>
      </c>
      <c r="AN25" s="9" t="s">
        <v>228</v>
      </c>
      <c r="AO25" s="9" t="s">
        <v>228</v>
      </c>
      <c r="AP25" s="9" t="s">
        <v>228</v>
      </c>
      <c r="AQ25" s="9" t="s">
        <v>227</v>
      </c>
      <c r="AR25" s="9" t="s">
        <v>228</v>
      </c>
      <c r="AS25" s="6" t="n">
        <f aca="false">IF(COUNTIF(AI25:AR25,"pass")+COUNTIF(AI25:AR25,"fail")=0,"",COUNTIF(AI25:AR25,"pass")/(COUNTIF(AI25:AR25,"pass")+COUNTIF(AI25:AR25,"fail")))</f>
        <v>0.8</v>
      </c>
      <c r="AT25" s="6" t="str">
        <f aca="false">IF(COUNTIF(Runs!$A$2:$A$61,A25)&gt;0,"yes","no, a void attempt")</f>
        <v>yes</v>
      </c>
    </row>
    <row r="26" customFormat="false" ht="15" hidden="false" customHeight="false" outlineLevel="0" collapsed="false">
      <c r="A26" s="9" t="s">
        <v>122</v>
      </c>
      <c r="B26" s="9" t="s">
        <v>105</v>
      </c>
      <c r="C26" s="9"/>
      <c r="D26" s="9" t="s">
        <v>226</v>
      </c>
      <c r="E26" s="9" t="s">
        <v>228</v>
      </c>
      <c r="F26" s="9" t="s">
        <v>228</v>
      </c>
      <c r="G26" s="9" t="s">
        <v>228</v>
      </c>
      <c r="H26" s="9" t="s">
        <v>228</v>
      </c>
      <c r="I26" s="9" t="s">
        <v>228</v>
      </c>
      <c r="J26" s="9" t="s">
        <v>228</v>
      </c>
      <c r="K26" s="9" t="s">
        <v>228</v>
      </c>
      <c r="L26" s="9" t="s">
        <v>228</v>
      </c>
      <c r="M26" s="9" t="s">
        <v>228</v>
      </c>
      <c r="N26" s="9" t="s">
        <v>228</v>
      </c>
      <c r="O26" s="9" t="s">
        <v>228</v>
      </c>
      <c r="P26" s="9" t="s">
        <v>228</v>
      </c>
      <c r="Q26" s="9" t="s">
        <v>228</v>
      </c>
      <c r="R26" s="9" t="s">
        <v>228</v>
      </c>
      <c r="S26" s="9" t="s">
        <v>228</v>
      </c>
      <c r="T26" s="9" t="s">
        <v>228</v>
      </c>
      <c r="U26" s="9" t="s">
        <v>228</v>
      </c>
      <c r="V26" s="9" t="s">
        <v>227</v>
      </c>
      <c r="W26" s="9" t="s">
        <v>228</v>
      </c>
      <c r="X26" s="9" t="s">
        <v>228</v>
      </c>
      <c r="Y26" s="9" t="s">
        <v>227</v>
      </c>
      <c r="Z26" s="9" t="s">
        <v>228</v>
      </c>
      <c r="AA26" s="9" t="s">
        <v>228</v>
      </c>
      <c r="AB26" s="9" t="s">
        <v>227</v>
      </c>
      <c r="AC26" s="9" t="s">
        <v>228</v>
      </c>
      <c r="AD26" s="9" t="s">
        <v>228</v>
      </c>
      <c r="AE26" s="2"/>
      <c r="AF26" s="6" t="n">
        <f aca="false">ROUND(100*SUMPRODUCT(($E26:$AD26="pass")*$E$4:$AD$4)/SUMPRODUCT((($E26:$AD26="pass")+($E26:$AD26="fail"))*$E$4:$AD$4),2)</f>
        <v>90</v>
      </c>
      <c r="AG26" s="6" t="n">
        <f aca="false">IF(OR(ISNUMBER(SEARCH("A8",C26)),AND(ISNUMBER(SEARCH("A0",C26)),ISNUMBER(SEARCH("ETARGET",D26)))),1,0)</f>
        <v>0</v>
      </c>
      <c r="AH26" s="2"/>
      <c r="AI26" s="9" t="s">
        <v>227</v>
      </c>
      <c r="AJ26" s="9" t="s">
        <v>227</v>
      </c>
      <c r="AK26" s="9" t="s">
        <v>228</v>
      </c>
      <c r="AL26" s="9" t="s">
        <v>228</v>
      </c>
      <c r="AM26" s="9" t="s">
        <v>228</v>
      </c>
      <c r="AN26" s="9" t="s">
        <v>228</v>
      </c>
      <c r="AO26" s="9" t="s">
        <v>228</v>
      </c>
      <c r="AP26" s="9" t="s">
        <v>227</v>
      </c>
      <c r="AQ26" s="9" t="s">
        <v>227</v>
      </c>
      <c r="AR26" s="9" t="s">
        <v>228</v>
      </c>
      <c r="AS26" s="6" t="n">
        <f aca="false">IF(COUNTIF(AI26:AR26,"pass")+COUNTIF(AI26:AR26,"fail")=0,"",COUNTIF(AI26:AR26,"pass")/(COUNTIF(AI26:AR26,"pass")+COUNTIF(AI26:AR26,"fail")))</f>
        <v>0.6</v>
      </c>
      <c r="AT26" s="6" t="str">
        <f aca="false">IF(COUNTIF(Runs!$A$2:$A$61,A26)&gt;0,"yes","no, a void attempt")</f>
        <v>yes</v>
      </c>
    </row>
    <row r="27" customFormat="false" ht="15" hidden="false" customHeight="false" outlineLevel="0" collapsed="false">
      <c r="A27" s="9" t="s">
        <v>109</v>
      </c>
      <c r="B27" s="9" t="s">
        <v>105</v>
      </c>
      <c r="C27" s="9"/>
      <c r="D27" s="9" t="s">
        <v>226</v>
      </c>
      <c r="E27" s="9" t="s">
        <v>228</v>
      </c>
      <c r="F27" s="9" t="s">
        <v>228</v>
      </c>
      <c r="G27" s="9" t="s">
        <v>228</v>
      </c>
      <c r="H27" s="9" t="s">
        <v>228</v>
      </c>
      <c r="I27" s="9" t="s">
        <v>228</v>
      </c>
      <c r="J27" s="9" t="s">
        <v>227</v>
      </c>
      <c r="K27" s="9" t="s">
        <v>227</v>
      </c>
      <c r="L27" s="9" t="s">
        <v>228</v>
      </c>
      <c r="M27" s="9" t="s">
        <v>228</v>
      </c>
      <c r="N27" s="9" t="s">
        <v>228</v>
      </c>
      <c r="O27" s="9" t="s">
        <v>228</v>
      </c>
      <c r="P27" s="9" t="s">
        <v>228</v>
      </c>
      <c r="Q27" s="9" t="s">
        <v>228</v>
      </c>
      <c r="R27" s="9" t="s">
        <v>228</v>
      </c>
      <c r="S27" s="9" t="s">
        <v>228</v>
      </c>
      <c r="T27" s="9" t="s">
        <v>227</v>
      </c>
      <c r="U27" s="9" t="s">
        <v>228</v>
      </c>
      <c r="V27" s="9" t="s">
        <v>228</v>
      </c>
      <c r="W27" s="9" t="s">
        <v>228</v>
      </c>
      <c r="X27" s="9" t="s">
        <v>228</v>
      </c>
      <c r="Y27" s="9" t="s">
        <v>228</v>
      </c>
      <c r="Z27" s="9" t="s">
        <v>228</v>
      </c>
      <c r="AA27" s="9" t="s">
        <v>228</v>
      </c>
      <c r="AB27" s="9" t="s">
        <v>228</v>
      </c>
      <c r="AC27" s="9" t="s">
        <v>228</v>
      </c>
      <c r="AD27" s="9" t="s">
        <v>228</v>
      </c>
      <c r="AE27" s="2"/>
      <c r="AF27" s="6" t="n">
        <f aca="false">ROUND(100*SUMPRODUCT(($E27:$AD27="pass")*$E$4:$AD$4)/SUMPRODUCT((($E27:$AD27="pass")+($E27:$AD27="fail"))*$E$4:$AD$4),2)</f>
        <v>92</v>
      </c>
      <c r="AG27" s="6" t="n">
        <f aca="false">IF(OR(ISNUMBER(SEARCH("A8",C27)),AND(ISNUMBER(SEARCH("A0",C27)),ISNUMBER(SEARCH("ETARGET",D27)))),1,0)</f>
        <v>0</v>
      </c>
      <c r="AH27" s="2"/>
      <c r="AI27" s="9" t="s">
        <v>227</v>
      </c>
      <c r="AJ27" s="9" t="s">
        <v>228</v>
      </c>
      <c r="AK27" s="9" t="s">
        <v>227</v>
      </c>
      <c r="AL27" s="9" t="s">
        <v>227</v>
      </c>
      <c r="AM27" s="9" t="s">
        <v>227</v>
      </c>
      <c r="AN27" s="9" t="s">
        <v>228</v>
      </c>
      <c r="AO27" s="9" t="s">
        <v>228</v>
      </c>
      <c r="AP27" s="9" t="s">
        <v>228</v>
      </c>
      <c r="AQ27" s="9" t="s">
        <v>228</v>
      </c>
      <c r="AR27" s="9" t="s">
        <v>227</v>
      </c>
      <c r="AS27" s="6" t="n">
        <f aca="false">IF(COUNTIF(AI27:AR27,"pass")+COUNTIF(AI27:AR27,"fail")=0,"",COUNTIF(AI27:AR27,"pass")/(COUNTIF(AI27:AR27,"pass")+COUNTIF(AI27:AR27,"fail")))</f>
        <v>0.5</v>
      </c>
      <c r="AT27" s="6" t="str">
        <f aca="false">IF(COUNTIF(Runs!$A$2:$A$61,A27)&gt;0,"yes","no, a void attempt")</f>
        <v>yes</v>
      </c>
    </row>
    <row r="28" customFormat="false" ht="15" hidden="false" customHeight="false" outlineLevel="0" collapsed="false">
      <c r="A28" s="9" t="s">
        <v>120</v>
      </c>
      <c r="B28" s="9" t="s">
        <v>105</v>
      </c>
      <c r="C28" s="9" t="s">
        <v>229</v>
      </c>
      <c r="D28" s="9" t="s">
        <v>230</v>
      </c>
      <c r="E28" s="9" t="s">
        <v>228</v>
      </c>
      <c r="F28" s="9" t="s">
        <v>228</v>
      </c>
      <c r="G28" s="9" t="s">
        <v>227</v>
      </c>
      <c r="H28" s="9" t="s">
        <v>228</v>
      </c>
      <c r="I28" s="9" t="s">
        <v>228</v>
      </c>
      <c r="J28" s="9" t="s">
        <v>228</v>
      </c>
      <c r="K28" s="9" t="s">
        <v>228</v>
      </c>
      <c r="L28" s="9" t="s">
        <v>228</v>
      </c>
      <c r="M28" s="9" t="s">
        <v>228</v>
      </c>
      <c r="N28" s="9" t="s">
        <v>227</v>
      </c>
      <c r="O28" s="9" t="s">
        <v>228</v>
      </c>
      <c r="P28" s="9" t="s">
        <v>227</v>
      </c>
      <c r="Q28" s="9" t="s">
        <v>228</v>
      </c>
      <c r="R28" s="9" t="s">
        <v>228</v>
      </c>
      <c r="S28" s="9" t="s">
        <v>228</v>
      </c>
      <c r="T28" s="9" t="s">
        <v>228</v>
      </c>
      <c r="U28" s="9" t="s">
        <v>228</v>
      </c>
      <c r="V28" s="9" t="s">
        <v>228</v>
      </c>
      <c r="W28" s="9" t="s">
        <v>228</v>
      </c>
      <c r="X28" s="9" t="s">
        <v>228</v>
      </c>
      <c r="Y28" s="9" t="s">
        <v>228</v>
      </c>
      <c r="Z28" s="9" t="s">
        <v>228</v>
      </c>
      <c r="AA28" s="9" t="s">
        <v>228</v>
      </c>
      <c r="AB28" s="9" t="s">
        <v>228</v>
      </c>
      <c r="AC28" s="9" t="s">
        <v>228</v>
      </c>
      <c r="AD28" s="9" t="s">
        <v>227</v>
      </c>
      <c r="AE28" s="2"/>
      <c r="AF28" s="6" t="n">
        <f aca="false">ROUND(100*SUMPRODUCT(($E28:$AD28="pass")*$E$4:$AD$4)/SUMPRODUCT((($E28:$AD28="pass")+($E28:$AD28="fail"))*$E$4:$AD$4),2)</f>
        <v>84</v>
      </c>
      <c r="AG28" s="6" t="n">
        <f aca="false">IF(OR(ISNUMBER(SEARCH("A8",C28)),AND(ISNUMBER(SEARCH("A0",C28)),ISNUMBER(SEARCH("ETARGET",D28)))),1,0)</f>
        <v>1</v>
      </c>
      <c r="AH28" s="2"/>
      <c r="AI28" s="9" t="s">
        <v>228</v>
      </c>
      <c r="AJ28" s="9" t="s">
        <v>227</v>
      </c>
      <c r="AK28" s="9" t="s">
        <v>228</v>
      </c>
      <c r="AL28" s="9" t="s">
        <v>228</v>
      </c>
      <c r="AM28" s="9" t="s">
        <v>228</v>
      </c>
      <c r="AN28" s="9" t="s">
        <v>227</v>
      </c>
      <c r="AO28" s="9" t="s">
        <v>228</v>
      </c>
      <c r="AP28" s="9" t="s">
        <v>227</v>
      </c>
      <c r="AQ28" s="9" t="s">
        <v>227</v>
      </c>
      <c r="AR28" s="9" t="s">
        <v>227</v>
      </c>
      <c r="AS28" s="6" t="n">
        <f aca="false">IF(COUNTIF(AI28:AR28,"pass")+COUNTIF(AI28:AR28,"fail")=0,"",COUNTIF(AI28:AR28,"pass")/(COUNTIF(AI28:AR28,"pass")+COUNTIF(AI28:AR28,"fail")))</f>
        <v>0.5</v>
      </c>
      <c r="AT28" s="6" t="str">
        <f aca="false">IF(COUNTIF(Runs!$A$2:$A$61,A28)&gt;0,"yes","no, a void attempt")</f>
        <v>yes</v>
      </c>
    </row>
    <row r="29" customFormat="false" ht="15" hidden="false" customHeight="false" outlineLevel="0" collapsed="false">
      <c r="A29" s="9" t="s">
        <v>166</v>
      </c>
      <c r="B29" s="9" t="s">
        <v>105</v>
      </c>
      <c r="C29" s="9"/>
      <c r="D29" s="9" t="s">
        <v>226</v>
      </c>
      <c r="E29" s="9" t="s">
        <v>227</v>
      </c>
      <c r="F29" s="9" t="s">
        <v>227</v>
      </c>
      <c r="G29" s="9" t="s">
        <v>227</v>
      </c>
      <c r="H29" s="9" t="s">
        <v>227</v>
      </c>
      <c r="I29" s="9" t="s">
        <v>227</v>
      </c>
      <c r="J29" s="9" t="s">
        <v>227</v>
      </c>
      <c r="K29" s="9" t="s">
        <v>227</v>
      </c>
      <c r="L29" s="9" t="s">
        <v>227</v>
      </c>
      <c r="M29" s="9" t="s">
        <v>227</v>
      </c>
      <c r="N29" s="9" t="s">
        <v>227</v>
      </c>
      <c r="O29" s="9" t="s">
        <v>227</v>
      </c>
      <c r="P29" s="9" t="s">
        <v>228</v>
      </c>
      <c r="Q29" s="9" t="s">
        <v>228</v>
      </c>
      <c r="R29" s="9" t="s">
        <v>227</v>
      </c>
      <c r="S29" s="9" t="s">
        <v>227</v>
      </c>
      <c r="T29" s="9" t="s">
        <v>227</v>
      </c>
      <c r="U29" s="9" t="s">
        <v>227</v>
      </c>
      <c r="V29" s="9" t="s">
        <v>227</v>
      </c>
      <c r="W29" s="9" t="s">
        <v>227</v>
      </c>
      <c r="X29" s="9" t="s">
        <v>227</v>
      </c>
      <c r="Y29" s="9" t="s">
        <v>227</v>
      </c>
      <c r="Z29" s="9" t="s">
        <v>227</v>
      </c>
      <c r="AA29" s="9" t="s">
        <v>227</v>
      </c>
      <c r="AB29" s="9" t="s">
        <v>227</v>
      </c>
      <c r="AC29" s="9" t="s">
        <v>227</v>
      </c>
      <c r="AD29" s="9" t="s">
        <v>227</v>
      </c>
      <c r="AE29" s="2"/>
      <c r="AF29" s="6" t="n">
        <f aca="false">ROUND(100*SUMPRODUCT(($E29:$AD29="pass")*$E$4:$AD$4)/SUMPRODUCT((($E29:$AD29="pass")+($E29:$AD29="fail"))*$E$4:$AD$4),2)</f>
        <v>10</v>
      </c>
      <c r="AG29" s="6" t="n">
        <f aca="false">IF(OR(ISNUMBER(SEARCH("A8",C29)),AND(ISNUMBER(SEARCH("A0",C29)),ISNUMBER(SEARCH("ETARGET",D29)))),1,0)</f>
        <v>0</v>
      </c>
      <c r="AH29" s="2"/>
      <c r="AI29" s="9" t="s">
        <v>228</v>
      </c>
      <c r="AJ29" s="9" t="s">
        <v>228</v>
      </c>
      <c r="AK29" s="9" t="s">
        <v>227</v>
      </c>
      <c r="AL29" s="9" t="s">
        <v>227</v>
      </c>
      <c r="AM29" s="9" t="s">
        <v>227</v>
      </c>
      <c r="AN29" s="9" t="s">
        <v>227</v>
      </c>
      <c r="AO29" s="9" t="s">
        <v>228</v>
      </c>
      <c r="AP29" s="9" t="s">
        <v>227</v>
      </c>
      <c r="AQ29" s="9" t="s">
        <v>228</v>
      </c>
      <c r="AR29" s="9" t="s">
        <v>228</v>
      </c>
      <c r="AS29" s="6" t="n">
        <f aca="false">IF(COUNTIF(AI29:AR29,"pass")+COUNTIF(AI29:AR29,"fail")=0,"",COUNTIF(AI29:AR29,"pass")/(COUNTIF(AI29:AR29,"pass")+COUNTIF(AI29:AR29,"fail")))</f>
        <v>0.5</v>
      </c>
      <c r="AT29" s="6" t="str">
        <f aca="false">IF(COUNTIF(Runs!$A$2:$A$61,A29)&gt;0,"yes","no, a void attempt")</f>
        <v>yes</v>
      </c>
    </row>
    <row r="30" customFormat="false" ht="15" hidden="false" customHeight="false" outlineLevel="0" collapsed="false">
      <c r="A30" s="9" t="s">
        <v>159</v>
      </c>
      <c r="B30" s="9" t="s">
        <v>105</v>
      </c>
      <c r="C30" s="9"/>
      <c r="D30" s="9" t="s">
        <v>226</v>
      </c>
      <c r="E30" s="9" t="s">
        <v>228</v>
      </c>
      <c r="F30" s="9" t="s">
        <v>228</v>
      </c>
      <c r="G30" s="9" t="s">
        <v>227</v>
      </c>
      <c r="H30" s="9" t="s">
        <v>228</v>
      </c>
      <c r="I30" s="9" t="s">
        <v>228</v>
      </c>
      <c r="J30" s="9" t="s">
        <v>228</v>
      </c>
      <c r="K30" s="9" t="s">
        <v>228</v>
      </c>
      <c r="L30" s="9" t="s">
        <v>228</v>
      </c>
      <c r="M30" s="9" t="s">
        <v>228</v>
      </c>
      <c r="N30" s="9" t="s">
        <v>228</v>
      </c>
      <c r="O30" s="9" t="s">
        <v>228</v>
      </c>
      <c r="P30" s="9" t="s">
        <v>228</v>
      </c>
      <c r="Q30" s="9" t="s">
        <v>228</v>
      </c>
      <c r="R30" s="9" t="s">
        <v>228</v>
      </c>
      <c r="S30" s="9" t="s">
        <v>228</v>
      </c>
      <c r="T30" s="9" t="s">
        <v>228</v>
      </c>
      <c r="U30" s="9" t="s">
        <v>228</v>
      </c>
      <c r="V30" s="9" t="s">
        <v>228</v>
      </c>
      <c r="W30" s="9" t="s">
        <v>228</v>
      </c>
      <c r="X30" s="9" t="s">
        <v>228</v>
      </c>
      <c r="Y30" s="9" t="s">
        <v>228</v>
      </c>
      <c r="Z30" s="9" t="s">
        <v>228</v>
      </c>
      <c r="AA30" s="9" t="s">
        <v>228</v>
      </c>
      <c r="AB30" s="9" t="s">
        <v>228</v>
      </c>
      <c r="AC30" s="9" t="s">
        <v>227</v>
      </c>
      <c r="AD30" s="9" t="s">
        <v>228</v>
      </c>
      <c r="AE30" s="2"/>
      <c r="AF30" s="6" t="n">
        <f aca="false">ROUND(100*SUMPRODUCT(($E30:$AD30="pass")*$E$4:$AD$4)/SUMPRODUCT((($E30:$AD30="pass")+($E30:$AD30="fail"))*$E$4:$AD$4),2)</f>
        <v>92</v>
      </c>
      <c r="AG30" s="6" t="n">
        <f aca="false">IF(OR(ISNUMBER(SEARCH("A8",C30)),AND(ISNUMBER(SEARCH("A0",C30)),ISNUMBER(SEARCH("ETARGET",D30)))),1,0)</f>
        <v>0</v>
      </c>
      <c r="AH30" s="2"/>
      <c r="AI30" s="9" t="s">
        <v>227</v>
      </c>
      <c r="AJ30" s="9" t="s">
        <v>227</v>
      </c>
      <c r="AK30" s="9" t="s">
        <v>228</v>
      </c>
      <c r="AL30" s="9" t="s">
        <v>228</v>
      </c>
      <c r="AM30" s="9" t="s">
        <v>228</v>
      </c>
      <c r="AN30" s="9" t="s">
        <v>227</v>
      </c>
      <c r="AO30" s="9" t="s">
        <v>228</v>
      </c>
      <c r="AP30" s="9" t="s">
        <v>228</v>
      </c>
      <c r="AQ30" s="9" t="s">
        <v>228</v>
      </c>
      <c r="AR30" s="9" t="s">
        <v>228</v>
      </c>
      <c r="AS30" s="6" t="n">
        <f aca="false">IF(COUNTIF(AI30:AR30,"pass")+COUNTIF(AI30:AR30,"fail")=0,"",COUNTIF(AI30:AR30,"pass")/(COUNTIF(AI30:AR30,"pass")+COUNTIF(AI30:AR30,"fail")))</f>
        <v>0.7</v>
      </c>
      <c r="AT30" s="6" t="str">
        <f aca="false">IF(COUNTIF(Runs!$A$2:$A$61,A30)&gt;0,"yes","no, a void attempt")</f>
        <v>yes</v>
      </c>
    </row>
    <row r="31" customFormat="false" ht="15" hidden="false" customHeight="false" outlineLevel="0" collapsed="false">
      <c r="A31" s="9" t="s">
        <v>163</v>
      </c>
      <c r="B31" s="9" t="s">
        <v>105</v>
      </c>
      <c r="C31" s="9"/>
      <c r="D31" s="9" t="s">
        <v>226</v>
      </c>
      <c r="E31" s="9" t="s">
        <v>228</v>
      </c>
      <c r="F31" s="9" t="s">
        <v>228</v>
      </c>
      <c r="G31" s="9" t="s">
        <v>228</v>
      </c>
      <c r="H31" s="9" t="s">
        <v>228</v>
      </c>
      <c r="I31" s="9" t="s">
        <v>228</v>
      </c>
      <c r="J31" s="9" t="s">
        <v>228</v>
      </c>
      <c r="K31" s="9" t="s">
        <v>228</v>
      </c>
      <c r="L31" s="9" t="s">
        <v>228</v>
      </c>
      <c r="M31" s="9" t="s">
        <v>227</v>
      </c>
      <c r="N31" s="9" t="s">
        <v>228</v>
      </c>
      <c r="O31" s="9" t="s">
        <v>228</v>
      </c>
      <c r="P31" s="9" t="s">
        <v>228</v>
      </c>
      <c r="Q31" s="9" t="s">
        <v>228</v>
      </c>
      <c r="R31" s="9" t="s">
        <v>228</v>
      </c>
      <c r="S31" s="9" t="s">
        <v>228</v>
      </c>
      <c r="T31" s="9" t="s">
        <v>228</v>
      </c>
      <c r="U31" s="9" t="s">
        <v>228</v>
      </c>
      <c r="V31" s="9" t="s">
        <v>228</v>
      </c>
      <c r="W31" s="9" t="s">
        <v>228</v>
      </c>
      <c r="X31" s="9" t="s">
        <v>228</v>
      </c>
      <c r="Y31" s="9" t="s">
        <v>228</v>
      </c>
      <c r="Z31" s="9" t="s">
        <v>228</v>
      </c>
      <c r="AA31" s="9" t="s">
        <v>228</v>
      </c>
      <c r="AB31" s="9" t="s">
        <v>227</v>
      </c>
      <c r="AC31" s="9" t="s">
        <v>228</v>
      </c>
      <c r="AD31" s="9" t="s">
        <v>228</v>
      </c>
      <c r="AE31" s="2"/>
      <c r="AF31" s="6" t="n">
        <f aca="false">ROUND(100*SUMPRODUCT(($E31:$AD31="pass")*$E$4:$AD$4)/SUMPRODUCT((($E31:$AD31="pass")+($E31:$AD31="fail"))*$E$4:$AD$4),2)</f>
        <v>96</v>
      </c>
      <c r="AG31" s="6" t="n">
        <f aca="false">IF(OR(ISNUMBER(SEARCH("A8",C31)),AND(ISNUMBER(SEARCH("A0",C31)),ISNUMBER(SEARCH("ETARGET",D31)))),1,0)</f>
        <v>0</v>
      </c>
      <c r="AH31" s="2"/>
      <c r="AI31" s="9" t="s">
        <v>228</v>
      </c>
      <c r="AJ31" s="9" t="s">
        <v>228</v>
      </c>
      <c r="AK31" s="9" t="s">
        <v>228</v>
      </c>
      <c r="AL31" s="9" t="s">
        <v>228</v>
      </c>
      <c r="AM31" s="9" t="s">
        <v>228</v>
      </c>
      <c r="AN31" s="9" t="s">
        <v>227</v>
      </c>
      <c r="AO31" s="9" t="s">
        <v>228</v>
      </c>
      <c r="AP31" s="9" t="s">
        <v>228</v>
      </c>
      <c r="AQ31" s="9" t="s">
        <v>227</v>
      </c>
      <c r="AR31" s="9" t="s">
        <v>227</v>
      </c>
      <c r="AS31" s="6" t="n">
        <f aca="false">IF(COUNTIF(AI31:AR31,"pass")+COUNTIF(AI31:AR31,"fail")=0,"",COUNTIF(AI31:AR31,"pass")/(COUNTIF(AI31:AR31,"pass")+COUNTIF(AI31:AR31,"fail")))</f>
        <v>0.7</v>
      </c>
      <c r="AT31" s="6" t="str">
        <f aca="false">IF(COUNTIF(Runs!$A$2:$A$61,A31)&gt;0,"yes","no, a void attempt")</f>
        <v>yes</v>
      </c>
    </row>
    <row r="32" customFormat="false" ht="15" hidden="false" customHeight="false" outlineLevel="0" collapsed="false">
      <c r="A32" s="9" t="s">
        <v>132</v>
      </c>
      <c r="B32" s="9" t="s">
        <v>105</v>
      </c>
      <c r="C32" s="9" t="s">
        <v>229</v>
      </c>
      <c r="D32" s="9" t="s">
        <v>230</v>
      </c>
      <c r="E32" s="9" t="s">
        <v>228</v>
      </c>
      <c r="F32" s="9" t="s">
        <v>228</v>
      </c>
      <c r="G32" s="9" t="s">
        <v>227</v>
      </c>
      <c r="H32" s="9" t="s">
        <v>228</v>
      </c>
      <c r="I32" s="9" t="s">
        <v>228</v>
      </c>
      <c r="J32" s="9" t="s">
        <v>228</v>
      </c>
      <c r="K32" s="9" t="s">
        <v>228</v>
      </c>
      <c r="L32" s="9" t="s">
        <v>228</v>
      </c>
      <c r="M32" s="9" t="s">
        <v>228</v>
      </c>
      <c r="N32" s="9" t="s">
        <v>228</v>
      </c>
      <c r="O32" s="9" t="s">
        <v>228</v>
      </c>
      <c r="P32" s="9" t="s">
        <v>228</v>
      </c>
      <c r="Q32" s="9" t="s">
        <v>228</v>
      </c>
      <c r="R32" s="9" t="s">
        <v>228</v>
      </c>
      <c r="S32" s="9" t="s">
        <v>228</v>
      </c>
      <c r="T32" s="9" t="s">
        <v>228</v>
      </c>
      <c r="U32" s="9" t="s">
        <v>228</v>
      </c>
      <c r="V32" s="9" t="s">
        <v>227</v>
      </c>
      <c r="W32" s="9" t="s">
        <v>228</v>
      </c>
      <c r="X32" s="9" t="s">
        <v>228</v>
      </c>
      <c r="Y32" s="9" t="s">
        <v>228</v>
      </c>
      <c r="Z32" s="9" t="s">
        <v>228</v>
      </c>
      <c r="AA32" s="9" t="s">
        <v>228</v>
      </c>
      <c r="AB32" s="9" t="s">
        <v>228</v>
      </c>
      <c r="AC32" s="9" t="s">
        <v>228</v>
      </c>
      <c r="AD32" s="9" t="s">
        <v>228</v>
      </c>
      <c r="AE32" s="2"/>
      <c r="AF32" s="6" t="n">
        <f aca="false">ROUND(100*SUMPRODUCT(($E32:$AD32="pass")*$E$4:$AD$4)/SUMPRODUCT((($E32:$AD32="pass")+($E32:$AD32="fail"))*$E$4:$AD$4),2)</f>
        <v>90</v>
      </c>
      <c r="AG32" s="6" t="n">
        <f aca="false">IF(OR(ISNUMBER(SEARCH("A8",C32)),AND(ISNUMBER(SEARCH("A0",C32)),ISNUMBER(SEARCH("ETARGET",D32)))),1,0)</f>
        <v>1</v>
      </c>
      <c r="AH32" s="2"/>
      <c r="AI32" s="9" t="s">
        <v>227</v>
      </c>
      <c r="AJ32" s="9" t="s">
        <v>228</v>
      </c>
      <c r="AK32" s="9" t="s">
        <v>228</v>
      </c>
      <c r="AL32" s="9" t="s">
        <v>228</v>
      </c>
      <c r="AM32" s="9" t="s">
        <v>228</v>
      </c>
      <c r="AN32" s="9" t="s">
        <v>228</v>
      </c>
      <c r="AO32" s="9" t="s">
        <v>228</v>
      </c>
      <c r="AP32" s="9" t="s">
        <v>228</v>
      </c>
      <c r="AQ32" s="9" t="s">
        <v>228</v>
      </c>
      <c r="AR32" s="9" t="s">
        <v>227</v>
      </c>
      <c r="AS32" s="6" t="n">
        <f aca="false">IF(COUNTIF(AI32:AR32,"pass")+COUNTIF(AI32:AR32,"fail")=0,"",COUNTIF(AI32:AR32,"pass")/(COUNTIF(AI32:AR32,"pass")+COUNTIF(AI32:AR32,"fail")))</f>
        <v>0.8</v>
      </c>
      <c r="AT32" s="6" t="str">
        <f aca="false">IF(COUNTIF(Runs!$A$2:$A$61,A32)&gt;0,"yes","no, a void attempt")</f>
        <v>yes</v>
      </c>
    </row>
    <row r="33" customFormat="false" ht="15" hidden="false" customHeight="false" outlineLevel="0" collapsed="false">
      <c r="A33" s="9" t="s">
        <v>162</v>
      </c>
      <c r="B33" s="9" t="s">
        <v>105</v>
      </c>
      <c r="C33" s="9"/>
      <c r="D33" s="9" t="s">
        <v>226</v>
      </c>
      <c r="E33" s="9" t="s">
        <v>227</v>
      </c>
      <c r="F33" s="9" t="s">
        <v>227</v>
      </c>
      <c r="G33" s="9" t="s">
        <v>227</v>
      </c>
      <c r="H33" s="9" t="s">
        <v>227</v>
      </c>
      <c r="I33" s="9" t="s">
        <v>227</v>
      </c>
      <c r="J33" s="9" t="s">
        <v>227</v>
      </c>
      <c r="K33" s="9" t="s">
        <v>227</v>
      </c>
      <c r="L33" s="9" t="s">
        <v>227</v>
      </c>
      <c r="M33" s="9" t="s">
        <v>227</v>
      </c>
      <c r="N33" s="9" t="s">
        <v>227</v>
      </c>
      <c r="O33" s="9" t="s">
        <v>227</v>
      </c>
      <c r="P33" s="9" t="s">
        <v>227</v>
      </c>
      <c r="Q33" s="9" t="s">
        <v>228</v>
      </c>
      <c r="R33" s="9" t="s">
        <v>227</v>
      </c>
      <c r="S33" s="9" t="s">
        <v>227</v>
      </c>
      <c r="T33" s="9" t="s">
        <v>227</v>
      </c>
      <c r="U33" s="9" t="s">
        <v>227</v>
      </c>
      <c r="V33" s="9" t="s">
        <v>227</v>
      </c>
      <c r="W33" s="9" t="s">
        <v>228</v>
      </c>
      <c r="X33" s="9" t="s">
        <v>227</v>
      </c>
      <c r="Y33" s="9" t="s">
        <v>228</v>
      </c>
      <c r="Z33" s="9" t="s">
        <v>227</v>
      </c>
      <c r="AA33" s="9" t="s">
        <v>227</v>
      </c>
      <c r="AB33" s="9" t="s">
        <v>227</v>
      </c>
      <c r="AC33" s="9" t="s">
        <v>227</v>
      </c>
      <c r="AD33" s="9" t="s">
        <v>227</v>
      </c>
      <c r="AE33" s="2"/>
      <c r="AF33" s="6" t="n">
        <f aca="false">ROUND(100*SUMPRODUCT(($E33:$AD33="pass")*$E$4:$AD$4)/SUMPRODUCT((($E33:$AD33="pass")+($E33:$AD33="fail"))*$E$4:$AD$4),2)</f>
        <v>12</v>
      </c>
      <c r="AG33" s="6" t="n">
        <f aca="false">IF(OR(ISNUMBER(SEARCH("A8",C33)),AND(ISNUMBER(SEARCH("A0",C33)),ISNUMBER(SEARCH("ETARGET",D33)))),1,0)</f>
        <v>0</v>
      </c>
      <c r="AH33" s="2"/>
      <c r="AI33" s="9" t="s">
        <v>228</v>
      </c>
      <c r="AJ33" s="9" t="s">
        <v>228</v>
      </c>
      <c r="AK33" s="9" t="s">
        <v>227</v>
      </c>
      <c r="AL33" s="9" t="s">
        <v>227</v>
      </c>
      <c r="AM33" s="9" t="s">
        <v>227</v>
      </c>
      <c r="AN33" s="9" t="s">
        <v>228</v>
      </c>
      <c r="AO33" s="9" t="s">
        <v>228</v>
      </c>
      <c r="AP33" s="9" t="s">
        <v>228</v>
      </c>
      <c r="AQ33" s="9" t="s">
        <v>228</v>
      </c>
      <c r="AR33" s="9" t="s">
        <v>227</v>
      </c>
      <c r="AS33" s="6" t="n">
        <f aca="false">IF(COUNTIF(AI33:AR33,"pass")+COUNTIF(AI33:AR33,"fail")=0,"",COUNTIF(AI33:AR33,"pass")/(COUNTIF(AI33:AR33,"pass")+COUNTIF(AI33:AR33,"fail")))</f>
        <v>0.6</v>
      </c>
      <c r="AT33" s="6" t="str">
        <f aca="false">IF(COUNTIF(Runs!$A$2:$A$61,A33)&gt;0,"yes","no, a void attempt")</f>
        <v>yes</v>
      </c>
    </row>
    <row r="34" customFormat="false" ht="15" hidden="false" customHeight="false" outlineLevel="0" collapsed="false">
      <c r="A34" s="9" t="s">
        <v>128</v>
      </c>
      <c r="B34" s="9" t="s">
        <v>105</v>
      </c>
      <c r="C34" s="9"/>
      <c r="D34" s="9" t="s">
        <v>226</v>
      </c>
      <c r="E34" s="9" t="s">
        <v>228</v>
      </c>
      <c r="F34" s="9" t="s">
        <v>228</v>
      </c>
      <c r="G34" s="9" t="s">
        <v>228</v>
      </c>
      <c r="H34" s="9" t="s">
        <v>227</v>
      </c>
      <c r="I34" s="9" t="s">
        <v>228</v>
      </c>
      <c r="J34" s="9" t="s">
        <v>227</v>
      </c>
      <c r="K34" s="9" t="s">
        <v>228</v>
      </c>
      <c r="L34" s="9" t="s">
        <v>228</v>
      </c>
      <c r="M34" s="9" t="s">
        <v>228</v>
      </c>
      <c r="N34" s="9" t="s">
        <v>228</v>
      </c>
      <c r="O34" s="9" t="s">
        <v>228</v>
      </c>
      <c r="P34" s="9" t="s">
        <v>228</v>
      </c>
      <c r="Q34" s="9" t="s">
        <v>228</v>
      </c>
      <c r="R34" s="9" t="s">
        <v>228</v>
      </c>
      <c r="S34" s="9" t="s">
        <v>227</v>
      </c>
      <c r="T34" s="9" t="s">
        <v>228</v>
      </c>
      <c r="U34" s="9" t="s">
        <v>228</v>
      </c>
      <c r="V34" s="9" t="s">
        <v>228</v>
      </c>
      <c r="W34" s="9" t="s">
        <v>228</v>
      </c>
      <c r="X34" s="9" t="s">
        <v>228</v>
      </c>
      <c r="Y34" s="9" t="s">
        <v>228</v>
      </c>
      <c r="Z34" s="9" t="s">
        <v>227</v>
      </c>
      <c r="AA34" s="9" t="s">
        <v>228</v>
      </c>
      <c r="AB34" s="9" t="s">
        <v>228</v>
      </c>
      <c r="AC34" s="9" t="s">
        <v>228</v>
      </c>
      <c r="AD34" s="9" t="s">
        <v>228</v>
      </c>
      <c r="AE34" s="2"/>
      <c r="AF34" s="6" t="n">
        <f aca="false">ROUND(100*SUMPRODUCT(($E34:$AD34="pass")*$E$4:$AD$4)/SUMPRODUCT((($E34:$AD34="pass")+($E34:$AD34="fail"))*$E$4:$AD$4),2)</f>
        <v>84</v>
      </c>
      <c r="AG34" s="6" t="n">
        <f aca="false">IF(OR(ISNUMBER(SEARCH("A8",C34)),AND(ISNUMBER(SEARCH("A0",C34)),ISNUMBER(SEARCH("ETARGET",D34)))),1,0)</f>
        <v>0</v>
      </c>
      <c r="AH34" s="2"/>
      <c r="AI34" s="9" t="s">
        <v>228</v>
      </c>
      <c r="AJ34" s="9" t="s">
        <v>227</v>
      </c>
      <c r="AK34" s="9" t="s">
        <v>227</v>
      </c>
      <c r="AL34" s="9" t="s">
        <v>228</v>
      </c>
      <c r="AM34" s="9" t="s">
        <v>228</v>
      </c>
      <c r="AN34" s="9" t="s">
        <v>228</v>
      </c>
      <c r="AO34" s="9" t="s">
        <v>228</v>
      </c>
      <c r="AP34" s="9" t="s">
        <v>228</v>
      </c>
      <c r="AQ34" s="9" t="s">
        <v>228</v>
      </c>
      <c r="AR34" s="9" t="s">
        <v>228</v>
      </c>
      <c r="AS34" s="6" t="n">
        <f aca="false">IF(COUNTIF(AI34:AR34,"pass")+COUNTIF(AI34:AR34,"fail")=0,"",COUNTIF(AI34:AR34,"pass")/(COUNTIF(AI34:AR34,"pass")+COUNTIF(AI34:AR34,"fail")))</f>
        <v>0.8</v>
      </c>
      <c r="AT34" s="6" t="str">
        <f aca="false">IF(COUNTIF(Runs!$A$2:$A$61,A34)&gt;0,"yes","no, a void attempt")</f>
        <v>yes</v>
      </c>
    </row>
    <row r="35" customFormat="false" ht="15" hidden="false" customHeight="false" outlineLevel="0" collapsed="false">
      <c r="A35" s="9" t="s">
        <v>112</v>
      </c>
      <c r="B35" s="9" t="s">
        <v>105</v>
      </c>
      <c r="C35" s="9"/>
      <c r="D35" s="9" t="s">
        <v>226</v>
      </c>
      <c r="E35" s="9" t="s">
        <v>228</v>
      </c>
      <c r="F35" s="9" t="s">
        <v>227</v>
      </c>
      <c r="G35" s="9" t="s">
        <v>227</v>
      </c>
      <c r="H35" s="9" t="s">
        <v>227</v>
      </c>
      <c r="I35" s="9" t="s">
        <v>227</v>
      </c>
      <c r="J35" s="9" t="s">
        <v>227</v>
      </c>
      <c r="K35" s="9" t="s">
        <v>227</v>
      </c>
      <c r="L35" s="9" t="s">
        <v>227</v>
      </c>
      <c r="M35" s="9" t="s">
        <v>227</v>
      </c>
      <c r="N35" s="9" t="s">
        <v>227</v>
      </c>
      <c r="O35" s="9" t="s">
        <v>227</v>
      </c>
      <c r="P35" s="9" t="s">
        <v>227</v>
      </c>
      <c r="Q35" s="9" t="s">
        <v>227</v>
      </c>
      <c r="R35" s="9" t="s">
        <v>227</v>
      </c>
      <c r="S35" s="9" t="s">
        <v>227</v>
      </c>
      <c r="T35" s="9" t="s">
        <v>227</v>
      </c>
      <c r="U35" s="9" t="s">
        <v>227</v>
      </c>
      <c r="V35" s="9" t="s">
        <v>227</v>
      </c>
      <c r="W35" s="9" t="s">
        <v>227</v>
      </c>
      <c r="X35" s="9" t="s">
        <v>227</v>
      </c>
      <c r="Y35" s="9" t="s">
        <v>227</v>
      </c>
      <c r="Z35" s="9" t="s">
        <v>227</v>
      </c>
      <c r="AA35" s="9" t="s">
        <v>227</v>
      </c>
      <c r="AB35" s="9" t="s">
        <v>227</v>
      </c>
      <c r="AC35" s="9" t="s">
        <v>227</v>
      </c>
      <c r="AD35" s="9" t="s">
        <v>227</v>
      </c>
      <c r="AE35" s="2"/>
      <c r="AF35" s="6" t="n">
        <f aca="false">ROUND(100*SUMPRODUCT(($E35:$AD35="pass")*$E$4:$AD$4)/SUMPRODUCT((($E35:$AD35="pass")+($E35:$AD35="fail"))*$E$4:$AD$4),2)</f>
        <v>2</v>
      </c>
      <c r="AG35" s="6" t="n">
        <f aca="false">IF(OR(ISNUMBER(SEARCH("A8",C35)),AND(ISNUMBER(SEARCH("A0",C35)),ISNUMBER(SEARCH("ETARGET",D35)))),1,0)</f>
        <v>0</v>
      </c>
      <c r="AH35" s="2"/>
      <c r="AI35" s="9" t="s">
        <v>228</v>
      </c>
      <c r="AJ35" s="9" t="s">
        <v>227</v>
      </c>
      <c r="AK35" s="9" t="s">
        <v>228</v>
      </c>
      <c r="AL35" s="9" t="s">
        <v>228</v>
      </c>
      <c r="AM35" s="9" t="s">
        <v>228</v>
      </c>
      <c r="AN35" s="9" t="s">
        <v>228</v>
      </c>
      <c r="AO35" s="9" t="s">
        <v>227</v>
      </c>
      <c r="AP35" s="9" t="s">
        <v>228</v>
      </c>
      <c r="AQ35" s="9" t="s">
        <v>228</v>
      </c>
      <c r="AR35" s="9" t="s">
        <v>227</v>
      </c>
      <c r="AS35" s="6" t="n">
        <f aca="false">IF(COUNTIF(AI35:AR35,"pass")+COUNTIF(AI35:AR35,"fail")=0,"",COUNTIF(AI35:AR35,"pass")/(COUNTIF(AI35:AR35,"pass")+COUNTIF(AI35:AR35,"fail")))</f>
        <v>0.7</v>
      </c>
      <c r="AT35" s="6" t="str">
        <f aca="false">IF(COUNTIF(Runs!$A$2:$A$61,A35)&gt;0,"yes","no, a void attempt")</f>
        <v>yes</v>
      </c>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customFormat="false" ht="15" hidden="false" customHeight="false" outlineLevel="0" collapsed="false">
      <c r="A38" s="5" t="s">
        <v>233</v>
      </c>
      <c r="B38" s="2"/>
      <c r="C38" s="2"/>
      <c r="D38" s="2"/>
      <c r="E38" s="5" t="s">
        <v>234</v>
      </c>
      <c r="F38" s="5" t="s">
        <v>235</v>
      </c>
      <c r="G38" s="5" t="s">
        <v>236</v>
      </c>
      <c r="H38" s="5" t="s">
        <v>237</v>
      </c>
      <c r="I38" s="5" t="s">
        <v>238</v>
      </c>
      <c r="J38" s="5" t="s">
        <v>239</v>
      </c>
      <c r="K38" s="5" t="s">
        <v>240</v>
      </c>
      <c r="L38" s="5" t="s">
        <v>241</v>
      </c>
      <c r="M38" s="5" t="s">
        <v>242</v>
      </c>
      <c r="N38" s="5" t="s">
        <v>243</v>
      </c>
      <c r="O38" s="5" t="s">
        <v>244</v>
      </c>
      <c r="P38" s="5" t="s">
        <v>245</v>
      </c>
      <c r="Q38" s="5" t="s">
        <v>246</v>
      </c>
      <c r="R38" s="5" t="s">
        <v>247</v>
      </c>
      <c r="S38" s="5" t="s">
        <v>248</v>
      </c>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customFormat="false" ht="15" hidden="false" customHeight="false" outlineLevel="0" collapsed="false">
      <c r="A39" s="5" t="s">
        <v>209</v>
      </c>
      <c r="B39" s="2"/>
      <c r="C39" s="2"/>
      <c r="D39" s="2"/>
      <c r="E39" s="9" t="n">
        <v>1</v>
      </c>
      <c r="F39" s="9" t="n">
        <v>3</v>
      </c>
      <c r="G39" s="9" t="n">
        <v>3</v>
      </c>
      <c r="H39" s="9" t="n">
        <v>2</v>
      </c>
      <c r="I39" s="9" t="n">
        <v>1</v>
      </c>
      <c r="J39" s="9" t="n">
        <v>2</v>
      </c>
      <c r="K39" s="9" t="n">
        <v>1</v>
      </c>
      <c r="L39" s="9" t="n">
        <v>1</v>
      </c>
      <c r="M39" s="9" t="n">
        <v>2</v>
      </c>
      <c r="N39" s="9" t="n">
        <v>3</v>
      </c>
      <c r="O39" s="9" t="n">
        <v>2</v>
      </c>
      <c r="P39" s="9" t="n">
        <v>1</v>
      </c>
      <c r="Q39" s="9" t="n">
        <v>1</v>
      </c>
      <c r="R39" s="9" t="n">
        <v>3</v>
      </c>
      <c r="S39" s="9" t="n">
        <v>1</v>
      </c>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customFormat="false" ht="15" hidden="false" customHeight="false" outlineLevel="0" collapsed="false">
      <c r="A40" s="5" t="s">
        <v>52</v>
      </c>
      <c r="B40" s="5" t="s">
        <v>54</v>
      </c>
      <c r="C40" s="5" t="s">
        <v>210</v>
      </c>
      <c r="D40" s="5" t="s">
        <v>211</v>
      </c>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5" t="s">
        <v>212</v>
      </c>
      <c r="AG40" s="5" t="s">
        <v>213</v>
      </c>
      <c r="AH40" s="2"/>
      <c r="AI40" s="5" t="s">
        <v>214</v>
      </c>
      <c r="AJ40" s="5" t="s">
        <v>215</v>
      </c>
      <c r="AK40" s="5" t="s">
        <v>216</v>
      </c>
      <c r="AL40" s="5" t="s">
        <v>217</v>
      </c>
      <c r="AM40" s="5" t="s">
        <v>218</v>
      </c>
      <c r="AN40" s="5" t="s">
        <v>219</v>
      </c>
      <c r="AO40" s="5" t="s">
        <v>220</v>
      </c>
      <c r="AP40" s="5" t="s">
        <v>221</v>
      </c>
      <c r="AQ40" s="5" t="s">
        <v>222</v>
      </c>
      <c r="AR40" s="5" t="s">
        <v>223</v>
      </c>
      <c r="AS40" s="5" t="s">
        <v>224</v>
      </c>
      <c r="AT40" s="5" t="s">
        <v>225</v>
      </c>
    </row>
    <row r="41" customFormat="false" ht="15" hidden="false" customHeight="false" outlineLevel="0" collapsed="false">
      <c r="A41" s="9" t="s">
        <v>249</v>
      </c>
      <c r="B41" s="9" t="s">
        <v>135</v>
      </c>
      <c r="C41" s="9" t="s">
        <v>231</v>
      </c>
      <c r="D41" s="9" t="s">
        <v>232</v>
      </c>
      <c r="E41" s="9" t="s">
        <v>227</v>
      </c>
      <c r="F41" s="9" t="s">
        <v>227</v>
      </c>
      <c r="G41" s="9" t="s">
        <v>227</v>
      </c>
      <c r="H41" s="9" t="s">
        <v>227</v>
      </c>
      <c r="I41" s="9" t="s">
        <v>227</v>
      </c>
      <c r="J41" s="9" t="s">
        <v>227</v>
      </c>
      <c r="K41" s="9" t="s">
        <v>227</v>
      </c>
      <c r="L41" s="9" t="s">
        <v>227</v>
      </c>
      <c r="M41" s="9" t="s">
        <v>228</v>
      </c>
      <c r="N41" s="9" t="s">
        <v>227</v>
      </c>
      <c r="O41" s="9" t="s">
        <v>227</v>
      </c>
      <c r="P41" s="9" t="s">
        <v>227</v>
      </c>
      <c r="Q41" s="9" t="s">
        <v>227</v>
      </c>
      <c r="R41" s="9" t="s">
        <v>227</v>
      </c>
      <c r="S41" s="9" t="s">
        <v>227</v>
      </c>
      <c r="T41" s="2"/>
      <c r="U41" s="2"/>
      <c r="V41" s="2"/>
      <c r="W41" s="2"/>
      <c r="X41" s="2"/>
      <c r="Y41" s="2"/>
      <c r="Z41" s="2"/>
      <c r="AA41" s="2"/>
      <c r="AB41" s="2"/>
      <c r="AC41" s="2"/>
      <c r="AD41" s="2"/>
      <c r="AE41" s="2"/>
      <c r="AF41" s="6" t="n">
        <f aca="false">ROUND(100*SUMPRODUCT(($E41:$AD41="pass")*$E$39:$AD$39)/SUMPRODUCT((($E41:$AD41="pass")+($E41:$AD41="fail"))*$E$39:$AD$39),2)</f>
        <v>7.41</v>
      </c>
      <c r="AG41" s="6" t="n">
        <f aca="false">IF(OR(ISNUMBER(SEARCH("A8",C41)),AND(ISNUMBER(SEARCH("A0",C41)),ISNUMBER(SEARCH("ETARGET",D41)))),1,0)</f>
        <v>1</v>
      </c>
      <c r="AH41" s="2"/>
      <c r="AI41" s="9" t="s">
        <v>228</v>
      </c>
      <c r="AJ41" s="9" t="s">
        <v>228</v>
      </c>
      <c r="AK41" s="9" t="s">
        <v>228</v>
      </c>
      <c r="AL41" s="9" t="s">
        <v>228</v>
      </c>
      <c r="AM41" s="2"/>
      <c r="AN41" s="2"/>
      <c r="AO41" s="2"/>
      <c r="AP41" s="2"/>
      <c r="AQ41" s="2"/>
      <c r="AR41" s="2"/>
      <c r="AS41" s="6" t="n">
        <f aca="false">IF(COUNTIF(AI41:AR41,"pass")+COUNTIF(AI41:AR41,"fail")=0,"",COUNTIF(AI41:AR41,"pass")/(COUNTIF(AI41:AR41,"pass")+COUNTIF(AI41:AR41,"fail")))</f>
        <v>1</v>
      </c>
      <c r="AT41" s="6" t="str">
        <f aca="false">IF(COUNTIF(Runs!$A$2:$A$61,A41)&gt;0,"yes","no, a void attempt")</f>
        <v>no, a void attempt</v>
      </c>
    </row>
    <row r="42" customFormat="false" ht="15" hidden="false" customHeight="false" outlineLevel="0" collapsed="false">
      <c r="A42" s="9" t="s">
        <v>136</v>
      </c>
      <c r="B42" s="9" t="s">
        <v>135</v>
      </c>
      <c r="C42" s="9"/>
      <c r="D42" s="9" t="s">
        <v>226</v>
      </c>
      <c r="E42" s="9" t="s">
        <v>228</v>
      </c>
      <c r="F42" s="9" t="s">
        <v>228</v>
      </c>
      <c r="G42" s="9" t="s">
        <v>228</v>
      </c>
      <c r="H42" s="9" t="s">
        <v>228</v>
      </c>
      <c r="I42" s="9" t="s">
        <v>228</v>
      </c>
      <c r="J42" s="9" t="s">
        <v>227</v>
      </c>
      <c r="K42" s="9" t="s">
        <v>228</v>
      </c>
      <c r="L42" s="9" t="s">
        <v>228</v>
      </c>
      <c r="M42" s="9" t="s">
        <v>228</v>
      </c>
      <c r="N42" s="9" t="s">
        <v>228</v>
      </c>
      <c r="O42" s="9" t="s">
        <v>228</v>
      </c>
      <c r="P42" s="9" t="s">
        <v>228</v>
      </c>
      <c r="Q42" s="9" t="s">
        <v>228</v>
      </c>
      <c r="R42" s="9" t="s">
        <v>228</v>
      </c>
      <c r="S42" s="9" t="s">
        <v>228</v>
      </c>
      <c r="T42" s="2"/>
      <c r="U42" s="2"/>
      <c r="V42" s="2"/>
      <c r="W42" s="2"/>
      <c r="X42" s="2"/>
      <c r="Y42" s="2"/>
      <c r="Z42" s="2"/>
      <c r="AA42" s="2"/>
      <c r="AB42" s="2"/>
      <c r="AC42" s="2"/>
      <c r="AD42" s="2"/>
      <c r="AE42" s="2"/>
      <c r="AF42" s="6" t="n">
        <f aca="false">ROUND(100*SUMPRODUCT(($E42:$AD42="pass")*$E$39:$AD$39)/SUMPRODUCT((($E42:$AD42="pass")+($E42:$AD42="fail"))*$E$39:$AD$39),2)</f>
        <v>92.59</v>
      </c>
      <c r="AG42" s="6" t="n">
        <f aca="false">IF(OR(ISNUMBER(SEARCH("A8",C42)),AND(ISNUMBER(SEARCH("A0",C42)),ISNUMBER(SEARCH("ETARGET",D42)))),1,0)</f>
        <v>0</v>
      </c>
      <c r="AH42" s="2"/>
      <c r="AI42" s="9" t="s">
        <v>228</v>
      </c>
      <c r="AJ42" s="9" t="s">
        <v>228</v>
      </c>
      <c r="AK42" s="9" t="s">
        <v>228</v>
      </c>
      <c r="AL42" s="9" t="s">
        <v>228</v>
      </c>
      <c r="AM42" s="2"/>
      <c r="AN42" s="2"/>
      <c r="AO42" s="2"/>
      <c r="AP42" s="2"/>
      <c r="AQ42" s="2"/>
      <c r="AR42" s="2"/>
      <c r="AS42" s="6" t="n">
        <f aca="false">IF(COUNTIF(AI42:AR42,"pass")+COUNTIF(AI42:AR42,"fail")=0,"",COUNTIF(AI42:AR42,"pass")/(COUNTIF(AI42:AR42,"pass")+COUNTIF(AI42:AR42,"fail")))</f>
        <v>1</v>
      </c>
      <c r="AT42" s="6" t="str">
        <f aca="false">IF(COUNTIF(Runs!$A$2:$A$61,A42)&gt;0,"yes","no, a void attempt")</f>
        <v>yes</v>
      </c>
    </row>
    <row r="43" customFormat="false" ht="15" hidden="false" customHeight="false" outlineLevel="0" collapsed="false">
      <c r="A43" s="9" t="s">
        <v>169</v>
      </c>
      <c r="B43" s="9" t="s">
        <v>135</v>
      </c>
      <c r="C43" s="9"/>
      <c r="D43" s="9" t="s">
        <v>226</v>
      </c>
      <c r="E43" s="9" t="s">
        <v>227</v>
      </c>
      <c r="F43" s="9" t="s">
        <v>227</v>
      </c>
      <c r="G43" s="9" t="s">
        <v>227</v>
      </c>
      <c r="H43" s="9" t="s">
        <v>227</v>
      </c>
      <c r="I43" s="9" t="s">
        <v>227</v>
      </c>
      <c r="J43" s="9" t="s">
        <v>227</v>
      </c>
      <c r="K43" s="9" t="s">
        <v>227</v>
      </c>
      <c r="L43" s="9" t="s">
        <v>228</v>
      </c>
      <c r="M43" s="9" t="s">
        <v>227</v>
      </c>
      <c r="N43" s="9" t="s">
        <v>227</v>
      </c>
      <c r="O43" s="9" t="s">
        <v>227</v>
      </c>
      <c r="P43" s="9" t="s">
        <v>227</v>
      </c>
      <c r="Q43" s="9" t="s">
        <v>227</v>
      </c>
      <c r="R43" s="9" t="s">
        <v>227</v>
      </c>
      <c r="S43" s="9" t="s">
        <v>227</v>
      </c>
      <c r="T43" s="2"/>
      <c r="U43" s="2"/>
      <c r="V43" s="2"/>
      <c r="W43" s="2"/>
      <c r="X43" s="2"/>
      <c r="Y43" s="2"/>
      <c r="Z43" s="2"/>
      <c r="AA43" s="2"/>
      <c r="AB43" s="2"/>
      <c r="AC43" s="2"/>
      <c r="AD43" s="2"/>
      <c r="AE43" s="2"/>
      <c r="AF43" s="6" t="n">
        <f aca="false">ROUND(100*SUMPRODUCT(($E43:$AD43="pass")*$E$39:$AD$39)/SUMPRODUCT((($E43:$AD43="pass")+($E43:$AD43="fail"))*$E$39:$AD$39),2)</f>
        <v>3.7</v>
      </c>
      <c r="AG43" s="6" t="n">
        <f aca="false">IF(OR(ISNUMBER(SEARCH("A8",C43)),AND(ISNUMBER(SEARCH("A0",C43)),ISNUMBER(SEARCH("ETARGET",D43)))),1,0)</f>
        <v>0</v>
      </c>
      <c r="AH43" s="2"/>
      <c r="AI43" s="9" t="s">
        <v>228</v>
      </c>
      <c r="AJ43" s="9" t="s">
        <v>228</v>
      </c>
      <c r="AK43" s="9" t="s">
        <v>228</v>
      </c>
      <c r="AL43" s="9" t="s">
        <v>228</v>
      </c>
      <c r="AM43" s="2"/>
      <c r="AN43" s="2"/>
      <c r="AO43" s="2"/>
      <c r="AP43" s="2"/>
      <c r="AQ43" s="2"/>
      <c r="AR43" s="2"/>
      <c r="AS43" s="6" t="n">
        <f aca="false">IF(COUNTIF(AI43:AR43,"pass")+COUNTIF(AI43:AR43,"fail")=0,"",COUNTIF(AI43:AR43,"pass")/(COUNTIF(AI43:AR43,"pass")+COUNTIF(AI43:AR43,"fail")))</f>
        <v>1</v>
      </c>
      <c r="AT43" s="6" t="str">
        <f aca="false">IF(COUNTIF(Runs!$A$2:$A$61,A43)&gt;0,"yes","no, a void attempt")</f>
        <v>yes</v>
      </c>
    </row>
    <row r="44" customFormat="false" ht="15" hidden="false" customHeight="false" outlineLevel="0" collapsed="false">
      <c r="A44" s="9" t="s">
        <v>250</v>
      </c>
      <c r="B44" s="9" t="s">
        <v>135</v>
      </c>
      <c r="C44" s="9" t="s">
        <v>229</v>
      </c>
      <c r="D44" s="9" t="s">
        <v>230</v>
      </c>
      <c r="E44" s="9" t="s">
        <v>227</v>
      </c>
      <c r="F44" s="9" t="s">
        <v>227</v>
      </c>
      <c r="G44" s="9" t="s">
        <v>227</v>
      </c>
      <c r="H44" s="9" t="s">
        <v>227</v>
      </c>
      <c r="I44" s="9" t="s">
        <v>227</v>
      </c>
      <c r="J44" s="9" t="s">
        <v>227</v>
      </c>
      <c r="K44" s="9" t="s">
        <v>227</v>
      </c>
      <c r="L44" s="9" t="s">
        <v>227</v>
      </c>
      <c r="M44" s="9" t="s">
        <v>227</v>
      </c>
      <c r="N44" s="9" t="s">
        <v>227</v>
      </c>
      <c r="O44" s="9" t="s">
        <v>227</v>
      </c>
      <c r="P44" s="9" t="s">
        <v>227</v>
      </c>
      <c r="Q44" s="9" t="s">
        <v>227</v>
      </c>
      <c r="R44" s="9" t="s">
        <v>228</v>
      </c>
      <c r="S44" s="9" t="s">
        <v>227</v>
      </c>
      <c r="T44" s="2"/>
      <c r="U44" s="2"/>
      <c r="V44" s="2"/>
      <c r="W44" s="2"/>
      <c r="X44" s="2"/>
      <c r="Y44" s="2"/>
      <c r="Z44" s="2"/>
      <c r="AA44" s="2"/>
      <c r="AB44" s="2"/>
      <c r="AC44" s="2"/>
      <c r="AD44" s="2"/>
      <c r="AE44" s="2"/>
      <c r="AF44" s="6" t="n">
        <f aca="false">ROUND(100*SUMPRODUCT(($E44:$AD44="pass")*$E$39:$AD$39)/SUMPRODUCT((($E44:$AD44="pass")+($E44:$AD44="fail"))*$E$39:$AD$39),2)</f>
        <v>11.11</v>
      </c>
      <c r="AG44" s="6" t="n">
        <f aca="false">IF(OR(ISNUMBER(SEARCH("A8",C44)),AND(ISNUMBER(SEARCH("A0",C44)),ISNUMBER(SEARCH("ETARGET",D44)))),1,0)</f>
        <v>1</v>
      </c>
      <c r="AH44" s="2"/>
      <c r="AI44" s="9" t="s">
        <v>228</v>
      </c>
      <c r="AJ44" s="9" t="s">
        <v>228</v>
      </c>
      <c r="AK44" s="9" t="s">
        <v>228</v>
      </c>
      <c r="AL44" s="9" t="s">
        <v>227</v>
      </c>
      <c r="AM44" s="2"/>
      <c r="AN44" s="2"/>
      <c r="AO44" s="2"/>
      <c r="AP44" s="2"/>
      <c r="AQ44" s="2"/>
      <c r="AR44" s="2"/>
      <c r="AS44" s="6" t="n">
        <f aca="false">IF(COUNTIF(AI44:AR44,"pass")+COUNTIF(AI44:AR44,"fail")=0,"",COUNTIF(AI44:AR44,"pass")/(COUNTIF(AI44:AR44,"pass")+COUNTIF(AI44:AR44,"fail")))</f>
        <v>0.75</v>
      </c>
      <c r="AT44" s="6" t="str">
        <f aca="false">IF(COUNTIF(Runs!$A$2:$A$61,A44)&gt;0,"yes","no, a void attempt")</f>
        <v>no, a void attempt</v>
      </c>
    </row>
    <row r="45" customFormat="false" ht="15" hidden="false" customHeight="false" outlineLevel="0" collapsed="false">
      <c r="A45" s="9" t="s">
        <v>178</v>
      </c>
      <c r="B45" s="9" t="s">
        <v>135</v>
      </c>
      <c r="C45" s="9"/>
      <c r="D45" s="9" t="s">
        <v>226</v>
      </c>
      <c r="E45" s="9" t="s">
        <v>228</v>
      </c>
      <c r="F45" s="9" t="s">
        <v>228</v>
      </c>
      <c r="G45" s="9" t="s">
        <v>228</v>
      </c>
      <c r="H45" s="9" t="s">
        <v>228</v>
      </c>
      <c r="I45" s="9" t="s">
        <v>228</v>
      </c>
      <c r="J45" s="9" t="s">
        <v>228</v>
      </c>
      <c r="K45" s="9" t="s">
        <v>228</v>
      </c>
      <c r="L45" s="9" t="s">
        <v>228</v>
      </c>
      <c r="M45" s="9" t="s">
        <v>228</v>
      </c>
      <c r="N45" s="9" t="s">
        <v>228</v>
      </c>
      <c r="O45" s="9" t="s">
        <v>228</v>
      </c>
      <c r="P45" s="9" t="s">
        <v>228</v>
      </c>
      <c r="Q45" s="9" t="s">
        <v>228</v>
      </c>
      <c r="R45" s="9" t="s">
        <v>228</v>
      </c>
      <c r="S45" s="9" t="s">
        <v>227</v>
      </c>
      <c r="T45" s="2"/>
      <c r="U45" s="2"/>
      <c r="V45" s="2"/>
      <c r="W45" s="2"/>
      <c r="X45" s="2"/>
      <c r="Y45" s="2"/>
      <c r="Z45" s="2"/>
      <c r="AA45" s="2"/>
      <c r="AB45" s="2"/>
      <c r="AC45" s="2"/>
      <c r="AD45" s="2"/>
      <c r="AE45" s="2"/>
      <c r="AF45" s="6" t="n">
        <f aca="false">ROUND(100*SUMPRODUCT(($E45:$AD45="pass")*$E$39:$AD$39)/SUMPRODUCT((($E45:$AD45="pass")+($E45:$AD45="fail"))*$E$39:$AD$39),2)</f>
        <v>96.3</v>
      </c>
      <c r="AG45" s="6" t="n">
        <f aca="false">IF(OR(ISNUMBER(SEARCH("A8",C45)),AND(ISNUMBER(SEARCH("A0",C45)),ISNUMBER(SEARCH("ETARGET",D45)))),1,0)</f>
        <v>0</v>
      </c>
      <c r="AH45" s="2"/>
      <c r="AI45" s="9" t="s">
        <v>227</v>
      </c>
      <c r="AJ45" s="9" t="s">
        <v>228</v>
      </c>
      <c r="AK45" s="9" t="s">
        <v>228</v>
      </c>
      <c r="AL45" s="9" t="s">
        <v>227</v>
      </c>
      <c r="AM45" s="2"/>
      <c r="AN45" s="2"/>
      <c r="AO45" s="2"/>
      <c r="AP45" s="2"/>
      <c r="AQ45" s="2"/>
      <c r="AR45" s="2"/>
      <c r="AS45" s="6" t="n">
        <f aca="false">IF(COUNTIF(AI45:AR45,"pass")+COUNTIF(AI45:AR45,"fail")=0,"",COUNTIF(AI45:AR45,"pass")/(COUNTIF(AI45:AR45,"pass")+COUNTIF(AI45:AR45,"fail")))</f>
        <v>0.5</v>
      </c>
      <c r="AT45" s="6" t="str">
        <f aca="false">IF(COUNTIF(Runs!$A$2:$A$61,A45)&gt;0,"yes","no, a void attempt")</f>
        <v>yes</v>
      </c>
    </row>
    <row r="46" customFormat="false" ht="15" hidden="false" customHeight="false" outlineLevel="0" collapsed="false">
      <c r="A46" s="9" t="s">
        <v>138</v>
      </c>
      <c r="B46" s="9" t="s">
        <v>135</v>
      </c>
      <c r="C46" s="9"/>
      <c r="D46" s="9" t="s">
        <v>226</v>
      </c>
      <c r="E46" s="9" t="s">
        <v>227</v>
      </c>
      <c r="F46" s="9" t="s">
        <v>227</v>
      </c>
      <c r="G46" s="9" t="s">
        <v>227</v>
      </c>
      <c r="H46" s="9" t="s">
        <v>228</v>
      </c>
      <c r="I46" s="9" t="s">
        <v>227</v>
      </c>
      <c r="J46" s="9" t="s">
        <v>227</v>
      </c>
      <c r="K46" s="9" t="s">
        <v>227</v>
      </c>
      <c r="L46" s="9" t="s">
        <v>227</v>
      </c>
      <c r="M46" s="9" t="s">
        <v>227</v>
      </c>
      <c r="N46" s="9" t="s">
        <v>227</v>
      </c>
      <c r="O46" s="9" t="s">
        <v>227</v>
      </c>
      <c r="P46" s="9" t="s">
        <v>227</v>
      </c>
      <c r="Q46" s="9" t="s">
        <v>227</v>
      </c>
      <c r="R46" s="9" t="s">
        <v>227</v>
      </c>
      <c r="S46" s="9" t="s">
        <v>228</v>
      </c>
      <c r="T46" s="2"/>
      <c r="U46" s="2"/>
      <c r="V46" s="2"/>
      <c r="W46" s="2"/>
      <c r="X46" s="2"/>
      <c r="Y46" s="2"/>
      <c r="Z46" s="2"/>
      <c r="AA46" s="2"/>
      <c r="AB46" s="2"/>
      <c r="AC46" s="2"/>
      <c r="AD46" s="2"/>
      <c r="AE46" s="2"/>
      <c r="AF46" s="6" t="n">
        <f aca="false">ROUND(100*SUMPRODUCT(($E46:$AD46="pass")*$E$39:$AD$39)/SUMPRODUCT((($E46:$AD46="pass")+($E46:$AD46="fail"))*$E$39:$AD$39),2)</f>
        <v>11.11</v>
      </c>
      <c r="AG46" s="6" t="n">
        <f aca="false">IF(OR(ISNUMBER(SEARCH("A8",C46)),AND(ISNUMBER(SEARCH("A0",C46)),ISNUMBER(SEARCH("ETARGET",D46)))),1,0)</f>
        <v>0</v>
      </c>
      <c r="AH46" s="2"/>
      <c r="AI46" s="9" t="s">
        <v>228</v>
      </c>
      <c r="AJ46" s="9" t="s">
        <v>228</v>
      </c>
      <c r="AK46" s="9" t="s">
        <v>228</v>
      </c>
      <c r="AL46" s="9" t="s">
        <v>228</v>
      </c>
      <c r="AM46" s="2"/>
      <c r="AN46" s="2"/>
      <c r="AO46" s="2"/>
      <c r="AP46" s="2"/>
      <c r="AQ46" s="2"/>
      <c r="AR46" s="2"/>
      <c r="AS46" s="6" t="n">
        <f aca="false">IF(COUNTIF(AI46:AR46,"pass")+COUNTIF(AI46:AR46,"fail")=0,"",COUNTIF(AI46:AR46,"pass")/(COUNTIF(AI46:AR46,"pass")+COUNTIF(AI46:AR46,"fail")))</f>
        <v>1</v>
      </c>
      <c r="AT46" s="6" t="str">
        <f aca="false">IF(COUNTIF(Runs!$A$2:$A$61,A46)&gt;0,"yes","no, a void attempt")</f>
        <v>yes</v>
      </c>
    </row>
    <row r="47" customFormat="false" ht="15" hidden="false" customHeight="false" outlineLevel="0" collapsed="false">
      <c r="A47" s="9" t="s">
        <v>146</v>
      </c>
      <c r="B47" s="9" t="s">
        <v>135</v>
      </c>
      <c r="C47" s="9"/>
      <c r="D47" s="9" t="s">
        <v>226</v>
      </c>
      <c r="E47" s="9" t="s">
        <v>228</v>
      </c>
      <c r="F47" s="9" t="s">
        <v>228</v>
      </c>
      <c r="G47" s="9" t="s">
        <v>228</v>
      </c>
      <c r="H47" s="9" t="s">
        <v>228</v>
      </c>
      <c r="I47" s="9" t="s">
        <v>228</v>
      </c>
      <c r="J47" s="9" t="s">
        <v>228</v>
      </c>
      <c r="K47" s="9" t="s">
        <v>228</v>
      </c>
      <c r="L47" s="9" t="s">
        <v>228</v>
      </c>
      <c r="M47" s="9" t="s">
        <v>228</v>
      </c>
      <c r="N47" s="9" t="s">
        <v>228</v>
      </c>
      <c r="O47" s="9" t="s">
        <v>228</v>
      </c>
      <c r="P47" s="9" t="s">
        <v>228</v>
      </c>
      <c r="Q47" s="9" t="s">
        <v>228</v>
      </c>
      <c r="R47" s="9" t="s">
        <v>227</v>
      </c>
      <c r="S47" s="9" t="s">
        <v>227</v>
      </c>
      <c r="T47" s="2"/>
      <c r="U47" s="2"/>
      <c r="V47" s="2"/>
      <c r="W47" s="2"/>
      <c r="X47" s="2"/>
      <c r="Y47" s="2"/>
      <c r="Z47" s="2"/>
      <c r="AA47" s="2"/>
      <c r="AB47" s="2"/>
      <c r="AC47" s="2"/>
      <c r="AD47" s="2"/>
      <c r="AE47" s="2"/>
      <c r="AF47" s="6" t="n">
        <f aca="false">ROUND(100*SUMPRODUCT(($E47:$AD47="pass")*$E$39:$AD$39)/SUMPRODUCT((($E47:$AD47="pass")+($E47:$AD47="fail"))*$E$39:$AD$39),2)</f>
        <v>85.19</v>
      </c>
      <c r="AG47" s="6" t="n">
        <f aca="false">IF(OR(ISNUMBER(SEARCH("A8",C47)),AND(ISNUMBER(SEARCH("A0",C47)),ISNUMBER(SEARCH("ETARGET",D47)))),1,0)</f>
        <v>0</v>
      </c>
      <c r="AH47" s="2"/>
      <c r="AI47" s="9" t="s">
        <v>228</v>
      </c>
      <c r="AJ47" s="9" t="s">
        <v>228</v>
      </c>
      <c r="AK47" s="9" t="s">
        <v>227</v>
      </c>
      <c r="AL47" s="9" t="s">
        <v>228</v>
      </c>
      <c r="AM47" s="2"/>
      <c r="AN47" s="2"/>
      <c r="AO47" s="2"/>
      <c r="AP47" s="2"/>
      <c r="AQ47" s="2"/>
      <c r="AR47" s="2"/>
      <c r="AS47" s="6" t="n">
        <f aca="false">IF(COUNTIF(AI47:AR47,"pass")+COUNTIF(AI47:AR47,"fail")=0,"",COUNTIF(AI47:AR47,"pass")/(COUNTIF(AI47:AR47,"pass")+COUNTIF(AI47:AR47,"fail")))</f>
        <v>0.75</v>
      </c>
      <c r="AT47" s="6" t="str">
        <f aca="false">IF(COUNTIF(Runs!$A$2:$A$61,A47)&gt;0,"yes","no, a void attempt")</f>
        <v>yes</v>
      </c>
    </row>
    <row r="48" customFormat="false" ht="15" hidden="false" customHeight="false" outlineLevel="0" collapsed="false">
      <c r="A48" s="9" t="s">
        <v>139</v>
      </c>
      <c r="B48" s="9" t="s">
        <v>135</v>
      </c>
      <c r="C48" s="9" t="s">
        <v>229</v>
      </c>
      <c r="D48" s="9" t="s">
        <v>230</v>
      </c>
      <c r="E48" s="9" t="s">
        <v>228</v>
      </c>
      <c r="F48" s="9" t="s">
        <v>228</v>
      </c>
      <c r="G48" s="9" t="s">
        <v>228</v>
      </c>
      <c r="H48" s="9" t="s">
        <v>228</v>
      </c>
      <c r="I48" s="9" t="s">
        <v>228</v>
      </c>
      <c r="J48" s="9" t="s">
        <v>227</v>
      </c>
      <c r="K48" s="9" t="s">
        <v>228</v>
      </c>
      <c r="L48" s="9" t="s">
        <v>228</v>
      </c>
      <c r="M48" s="9" t="s">
        <v>227</v>
      </c>
      <c r="N48" s="9" t="s">
        <v>228</v>
      </c>
      <c r="O48" s="9" t="s">
        <v>228</v>
      </c>
      <c r="P48" s="9" t="s">
        <v>228</v>
      </c>
      <c r="Q48" s="9" t="s">
        <v>228</v>
      </c>
      <c r="R48" s="9" t="s">
        <v>228</v>
      </c>
      <c r="S48" s="9" t="s">
        <v>228</v>
      </c>
      <c r="T48" s="2"/>
      <c r="U48" s="2"/>
      <c r="V48" s="2"/>
      <c r="W48" s="2"/>
      <c r="X48" s="2"/>
      <c r="Y48" s="2"/>
      <c r="Z48" s="2"/>
      <c r="AA48" s="2"/>
      <c r="AB48" s="2"/>
      <c r="AC48" s="2"/>
      <c r="AD48" s="2"/>
      <c r="AE48" s="2"/>
      <c r="AF48" s="6" t="n">
        <f aca="false">ROUND(100*SUMPRODUCT(($E48:$AD48="pass")*$E$39:$AD$39)/SUMPRODUCT((($E48:$AD48="pass")+($E48:$AD48="fail"))*$E$39:$AD$39),2)</f>
        <v>85.19</v>
      </c>
      <c r="AG48" s="6" t="n">
        <f aca="false">IF(OR(ISNUMBER(SEARCH("A8",C48)),AND(ISNUMBER(SEARCH("A0",C48)),ISNUMBER(SEARCH("ETARGET",D48)))),1,0)</f>
        <v>1</v>
      </c>
      <c r="AH48" s="2"/>
      <c r="AI48" s="9" t="s">
        <v>228</v>
      </c>
      <c r="AJ48" s="9" t="s">
        <v>228</v>
      </c>
      <c r="AK48" s="9" t="s">
        <v>228</v>
      </c>
      <c r="AL48" s="9" t="s">
        <v>228</v>
      </c>
      <c r="AM48" s="2"/>
      <c r="AN48" s="2"/>
      <c r="AO48" s="2"/>
      <c r="AP48" s="2"/>
      <c r="AQ48" s="2"/>
      <c r="AR48" s="2"/>
      <c r="AS48" s="6" t="n">
        <f aca="false">IF(COUNTIF(AI48:AR48,"pass")+COUNTIF(AI48:AR48,"fail")=0,"",COUNTIF(AI48:AR48,"pass")/(COUNTIF(AI48:AR48,"pass")+COUNTIF(AI48:AR48,"fail")))</f>
        <v>1</v>
      </c>
      <c r="AT48" s="6" t="str">
        <f aca="false">IF(COUNTIF(Runs!$A$2:$A$61,A48)&gt;0,"yes","no, a void attempt")</f>
        <v>yes</v>
      </c>
    </row>
    <row r="49" customFormat="false" ht="15" hidden="false" customHeight="false" outlineLevel="0" collapsed="false">
      <c r="A49" s="9" t="s">
        <v>180</v>
      </c>
      <c r="B49" s="9" t="s">
        <v>135</v>
      </c>
      <c r="C49" s="9"/>
      <c r="D49" s="9" t="s">
        <v>226</v>
      </c>
      <c r="E49" s="9" t="s">
        <v>228</v>
      </c>
      <c r="F49" s="9" t="s">
        <v>228</v>
      </c>
      <c r="G49" s="9" t="s">
        <v>228</v>
      </c>
      <c r="H49" s="9" t="s">
        <v>228</v>
      </c>
      <c r="I49" s="9" t="s">
        <v>228</v>
      </c>
      <c r="J49" s="9" t="s">
        <v>228</v>
      </c>
      <c r="K49" s="9" t="s">
        <v>228</v>
      </c>
      <c r="L49" s="9" t="s">
        <v>228</v>
      </c>
      <c r="M49" s="9" t="s">
        <v>228</v>
      </c>
      <c r="N49" s="9" t="s">
        <v>228</v>
      </c>
      <c r="O49" s="9" t="s">
        <v>228</v>
      </c>
      <c r="P49" s="9" t="s">
        <v>228</v>
      </c>
      <c r="Q49" s="9" t="s">
        <v>228</v>
      </c>
      <c r="R49" s="9" t="s">
        <v>228</v>
      </c>
      <c r="S49" s="9" t="s">
        <v>228</v>
      </c>
      <c r="T49" s="2"/>
      <c r="U49" s="2"/>
      <c r="V49" s="2"/>
      <c r="W49" s="2"/>
      <c r="X49" s="2"/>
      <c r="Y49" s="2"/>
      <c r="Z49" s="2"/>
      <c r="AA49" s="2"/>
      <c r="AB49" s="2"/>
      <c r="AC49" s="2"/>
      <c r="AD49" s="2"/>
      <c r="AE49" s="2"/>
      <c r="AF49" s="6" t="n">
        <f aca="false">ROUND(100*SUMPRODUCT(($E49:$AD49="pass")*$E$39:$AD$39)/SUMPRODUCT((($E49:$AD49="pass")+($E49:$AD49="fail"))*$E$39:$AD$39),2)</f>
        <v>100</v>
      </c>
      <c r="AG49" s="6" t="n">
        <f aca="false">IF(OR(ISNUMBER(SEARCH("A8",C49)),AND(ISNUMBER(SEARCH("A0",C49)),ISNUMBER(SEARCH("ETARGET",D49)))),1,0)</f>
        <v>0</v>
      </c>
      <c r="AH49" s="2"/>
      <c r="AI49" s="9" t="s">
        <v>228</v>
      </c>
      <c r="AJ49" s="9" t="s">
        <v>228</v>
      </c>
      <c r="AK49" s="9" t="s">
        <v>228</v>
      </c>
      <c r="AL49" s="9" t="s">
        <v>227</v>
      </c>
      <c r="AM49" s="2"/>
      <c r="AN49" s="2"/>
      <c r="AO49" s="2"/>
      <c r="AP49" s="2"/>
      <c r="AQ49" s="2"/>
      <c r="AR49" s="2"/>
      <c r="AS49" s="6" t="n">
        <f aca="false">IF(COUNTIF(AI49:AR49,"pass")+COUNTIF(AI49:AR49,"fail")=0,"",COUNTIF(AI49:AR49,"pass")/(COUNTIF(AI49:AR49,"pass")+COUNTIF(AI49:AR49,"fail")))</f>
        <v>0.75</v>
      </c>
      <c r="AT49" s="6" t="str">
        <f aca="false">IF(COUNTIF(Runs!$A$2:$A$61,A49)&gt;0,"yes","no, a void attempt")</f>
        <v>yes</v>
      </c>
    </row>
    <row r="50" customFormat="false" ht="15" hidden="false" customHeight="false" outlineLevel="0" collapsed="false">
      <c r="A50" s="9" t="s">
        <v>172</v>
      </c>
      <c r="B50" s="9" t="s">
        <v>135</v>
      </c>
      <c r="C50" s="9"/>
      <c r="D50" s="9" t="s">
        <v>226</v>
      </c>
      <c r="E50" s="9" t="s">
        <v>228</v>
      </c>
      <c r="F50" s="9" t="s">
        <v>228</v>
      </c>
      <c r="G50" s="9" t="s">
        <v>228</v>
      </c>
      <c r="H50" s="9" t="s">
        <v>228</v>
      </c>
      <c r="I50" s="9" t="s">
        <v>228</v>
      </c>
      <c r="J50" s="9" t="s">
        <v>228</v>
      </c>
      <c r="K50" s="9" t="s">
        <v>227</v>
      </c>
      <c r="L50" s="9" t="s">
        <v>228</v>
      </c>
      <c r="M50" s="9" t="s">
        <v>228</v>
      </c>
      <c r="N50" s="9" t="s">
        <v>228</v>
      </c>
      <c r="O50" s="9" t="s">
        <v>228</v>
      </c>
      <c r="P50" s="9" t="s">
        <v>228</v>
      </c>
      <c r="Q50" s="9" t="s">
        <v>228</v>
      </c>
      <c r="R50" s="9" t="s">
        <v>228</v>
      </c>
      <c r="S50" s="9" t="s">
        <v>228</v>
      </c>
      <c r="T50" s="2"/>
      <c r="U50" s="2"/>
      <c r="V50" s="2"/>
      <c r="W50" s="2"/>
      <c r="X50" s="2"/>
      <c r="Y50" s="2"/>
      <c r="Z50" s="2"/>
      <c r="AA50" s="2"/>
      <c r="AB50" s="2"/>
      <c r="AC50" s="2"/>
      <c r="AD50" s="2"/>
      <c r="AE50" s="2"/>
      <c r="AF50" s="6" t="n">
        <f aca="false">ROUND(100*SUMPRODUCT(($E50:$AD50="pass")*$E$39:$AD$39)/SUMPRODUCT((($E50:$AD50="pass")+($E50:$AD50="fail"))*$E$39:$AD$39),2)</f>
        <v>96.3</v>
      </c>
      <c r="AG50" s="6" t="n">
        <f aca="false">IF(OR(ISNUMBER(SEARCH("A8",C50)),AND(ISNUMBER(SEARCH("A0",C50)),ISNUMBER(SEARCH("ETARGET",D50)))),1,0)</f>
        <v>0</v>
      </c>
      <c r="AH50" s="2"/>
      <c r="AI50" s="9" t="s">
        <v>228</v>
      </c>
      <c r="AJ50" s="9" t="s">
        <v>228</v>
      </c>
      <c r="AK50" s="9" t="s">
        <v>228</v>
      </c>
      <c r="AL50" s="9" t="s">
        <v>228</v>
      </c>
      <c r="AM50" s="2"/>
      <c r="AN50" s="2"/>
      <c r="AO50" s="2"/>
      <c r="AP50" s="2"/>
      <c r="AQ50" s="2"/>
      <c r="AR50" s="2"/>
      <c r="AS50" s="6" t="n">
        <f aca="false">IF(COUNTIF(AI50:AR50,"pass")+COUNTIF(AI50:AR50,"fail")=0,"",COUNTIF(AI50:AR50,"pass")/(COUNTIF(AI50:AR50,"pass")+COUNTIF(AI50:AR50,"fail")))</f>
        <v>1</v>
      </c>
      <c r="AT50" s="6" t="str">
        <f aca="false">IF(COUNTIF(Runs!$A$2:$A$61,A50)&gt;0,"yes","no, a void attempt")</f>
        <v>yes</v>
      </c>
    </row>
    <row r="51" customFormat="false" ht="15" hidden="false" customHeight="false" outlineLevel="0" collapsed="false">
      <c r="A51" s="9" t="s">
        <v>251</v>
      </c>
      <c r="B51" s="9" t="s">
        <v>135</v>
      </c>
      <c r="C51" s="9"/>
      <c r="D51" s="9" t="s">
        <v>226</v>
      </c>
      <c r="E51" s="9" t="s">
        <v>228</v>
      </c>
      <c r="F51" s="9" t="s">
        <v>228</v>
      </c>
      <c r="G51" s="9" t="s">
        <v>228</v>
      </c>
      <c r="H51" s="9" t="s">
        <v>228</v>
      </c>
      <c r="I51" s="9" t="s">
        <v>227</v>
      </c>
      <c r="J51" s="9" t="s">
        <v>228</v>
      </c>
      <c r="K51" s="9" t="s">
        <v>228</v>
      </c>
      <c r="L51" s="9" t="s">
        <v>228</v>
      </c>
      <c r="M51" s="9" t="s">
        <v>228</v>
      </c>
      <c r="N51" s="9" t="s">
        <v>227</v>
      </c>
      <c r="O51" s="9" t="s">
        <v>227</v>
      </c>
      <c r="P51" s="9" t="s">
        <v>228</v>
      </c>
      <c r="Q51" s="9" t="s">
        <v>227</v>
      </c>
      <c r="R51" s="9" t="s">
        <v>228</v>
      </c>
      <c r="S51" s="9" t="s">
        <v>228</v>
      </c>
      <c r="T51" s="2"/>
      <c r="U51" s="2"/>
      <c r="V51" s="2"/>
      <c r="W51" s="2"/>
      <c r="X51" s="2"/>
      <c r="Y51" s="2"/>
      <c r="Z51" s="2"/>
      <c r="AA51" s="2"/>
      <c r="AB51" s="2"/>
      <c r="AC51" s="2"/>
      <c r="AD51" s="2"/>
      <c r="AE51" s="2"/>
      <c r="AF51" s="6" t="n">
        <f aca="false">ROUND(100*SUMPRODUCT(($E51:$AD51="pass")*$E$39:$AD$39)/SUMPRODUCT((($E51:$AD51="pass")+($E51:$AD51="fail"))*$E$39:$AD$39),2)</f>
        <v>74.07</v>
      </c>
      <c r="AG51" s="6" t="n">
        <f aca="false">IF(OR(ISNUMBER(SEARCH("A8",C51)),AND(ISNUMBER(SEARCH("A0",C51)),ISNUMBER(SEARCH("ETARGET",D51)))),1,0)</f>
        <v>0</v>
      </c>
      <c r="AH51" s="2"/>
      <c r="AI51" s="9" t="s">
        <v>228</v>
      </c>
      <c r="AJ51" s="9" t="s">
        <v>228</v>
      </c>
      <c r="AK51" s="9" t="s">
        <v>227</v>
      </c>
      <c r="AL51" s="9" t="s">
        <v>228</v>
      </c>
      <c r="AM51" s="2"/>
      <c r="AN51" s="2"/>
      <c r="AO51" s="2"/>
      <c r="AP51" s="2"/>
      <c r="AQ51" s="2"/>
      <c r="AR51" s="2"/>
      <c r="AS51" s="6" t="n">
        <f aca="false">IF(COUNTIF(AI51:AR51,"pass")+COUNTIF(AI51:AR51,"fail")=0,"",COUNTIF(AI51:AR51,"pass")/(COUNTIF(AI51:AR51,"pass")+COUNTIF(AI51:AR51,"fail")))</f>
        <v>0.75</v>
      </c>
      <c r="AT51" s="6" t="str">
        <f aca="false">IF(COUNTIF(Runs!$A$2:$A$61,A51)&gt;0,"yes","no, a void attempt")</f>
        <v>no, a void attempt</v>
      </c>
    </row>
    <row r="52" customFormat="false" ht="15" hidden="false" customHeight="false" outlineLevel="0" collapsed="false">
      <c r="A52" s="9" t="s">
        <v>177</v>
      </c>
      <c r="B52" s="9" t="s">
        <v>135</v>
      </c>
      <c r="C52" s="9"/>
      <c r="D52" s="9" t="s">
        <v>226</v>
      </c>
      <c r="E52" s="9" t="s">
        <v>227</v>
      </c>
      <c r="F52" s="9" t="s">
        <v>228</v>
      </c>
      <c r="G52" s="9" t="s">
        <v>227</v>
      </c>
      <c r="H52" s="9" t="s">
        <v>228</v>
      </c>
      <c r="I52" s="9" t="s">
        <v>228</v>
      </c>
      <c r="J52" s="9" t="s">
        <v>227</v>
      </c>
      <c r="K52" s="9" t="s">
        <v>227</v>
      </c>
      <c r="L52" s="9" t="s">
        <v>228</v>
      </c>
      <c r="M52" s="9" t="s">
        <v>227</v>
      </c>
      <c r="N52" s="9" t="s">
        <v>227</v>
      </c>
      <c r="O52" s="9" t="s">
        <v>227</v>
      </c>
      <c r="P52" s="9" t="s">
        <v>227</v>
      </c>
      <c r="Q52" s="9" t="s">
        <v>227</v>
      </c>
      <c r="R52" s="9" t="s">
        <v>227</v>
      </c>
      <c r="S52" s="9" t="s">
        <v>227</v>
      </c>
      <c r="T52" s="2"/>
      <c r="U52" s="2"/>
      <c r="V52" s="2"/>
      <c r="W52" s="2"/>
      <c r="X52" s="2"/>
      <c r="Y52" s="2"/>
      <c r="Z52" s="2"/>
      <c r="AA52" s="2"/>
      <c r="AB52" s="2"/>
      <c r="AC52" s="2"/>
      <c r="AD52" s="2"/>
      <c r="AE52" s="2"/>
      <c r="AF52" s="6" t="n">
        <f aca="false">ROUND(100*SUMPRODUCT(($E52:$AD52="pass")*$E$39:$AD$39)/SUMPRODUCT((($E52:$AD52="pass")+($E52:$AD52="fail"))*$E$39:$AD$39),2)</f>
        <v>25.93</v>
      </c>
      <c r="AG52" s="6" t="n">
        <f aca="false">IF(OR(ISNUMBER(SEARCH("A8",C52)),AND(ISNUMBER(SEARCH("A0",C52)),ISNUMBER(SEARCH("ETARGET",D52)))),1,0)</f>
        <v>0</v>
      </c>
      <c r="AH52" s="2"/>
      <c r="AI52" s="9" t="s">
        <v>228</v>
      </c>
      <c r="AJ52" s="9" t="s">
        <v>228</v>
      </c>
      <c r="AK52" s="9" t="s">
        <v>228</v>
      </c>
      <c r="AL52" s="9" t="s">
        <v>228</v>
      </c>
      <c r="AM52" s="2"/>
      <c r="AN52" s="2"/>
      <c r="AO52" s="2"/>
      <c r="AP52" s="2"/>
      <c r="AQ52" s="2"/>
      <c r="AR52" s="2"/>
      <c r="AS52" s="6" t="n">
        <f aca="false">IF(COUNTIF(AI52:AR52,"pass")+COUNTIF(AI52:AR52,"fail")=0,"",COUNTIF(AI52:AR52,"pass")/(COUNTIF(AI52:AR52,"pass")+COUNTIF(AI52:AR52,"fail")))</f>
        <v>1</v>
      </c>
      <c r="AT52" s="6" t="str">
        <f aca="false">IF(COUNTIF(Runs!$A$2:$A$61,A52)&gt;0,"yes","no, a void attempt")</f>
        <v>yes</v>
      </c>
    </row>
    <row r="53" customFormat="false" ht="15" hidden="false" customHeight="false" outlineLevel="0" collapsed="false">
      <c r="A53" s="9" t="s">
        <v>154</v>
      </c>
      <c r="B53" s="9" t="s">
        <v>135</v>
      </c>
      <c r="C53" s="9" t="s">
        <v>229</v>
      </c>
      <c r="D53" s="9" t="s">
        <v>230</v>
      </c>
      <c r="E53" s="9" t="s">
        <v>228</v>
      </c>
      <c r="F53" s="9" t="s">
        <v>228</v>
      </c>
      <c r="G53" s="9" t="s">
        <v>228</v>
      </c>
      <c r="H53" s="9" t="s">
        <v>228</v>
      </c>
      <c r="I53" s="9" t="s">
        <v>228</v>
      </c>
      <c r="J53" s="9" t="s">
        <v>228</v>
      </c>
      <c r="K53" s="9" t="s">
        <v>228</v>
      </c>
      <c r="L53" s="9" t="s">
        <v>228</v>
      </c>
      <c r="M53" s="9" t="s">
        <v>228</v>
      </c>
      <c r="N53" s="9" t="s">
        <v>228</v>
      </c>
      <c r="O53" s="9" t="s">
        <v>228</v>
      </c>
      <c r="P53" s="9" t="s">
        <v>228</v>
      </c>
      <c r="Q53" s="9" t="s">
        <v>228</v>
      </c>
      <c r="R53" s="9" t="s">
        <v>227</v>
      </c>
      <c r="S53" s="9" t="s">
        <v>228</v>
      </c>
      <c r="T53" s="2"/>
      <c r="U53" s="2"/>
      <c r="V53" s="2"/>
      <c r="W53" s="2"/>
      <c r="X53" s="2"/>
      <c r="Y53" s="2"/>
      <c r="Z53" s="2"/>
      <c r="AA53" s="2"/>
      <c r="AB53" s="2"/>
      <c r="AC53" s="2"/>
      <c r="AD53" s="2"/>
      <c r="AE53" s="2"/>
      <c r="AF53" s="6" t="n">
        <f aca="false">ROUND(100*SUMPRODUCT(($E53:$AD53="pass")*$E$39:$AD$39)/SUMPRODUCT((($E53:$AD53="pass")+($E53:$AD53="fail"))*$E$39:$AD$39),2)</f>
        <v>88.89</v>
      </c>
      <c r="AG53" s="6" t="n">
        <f aca="false">IF(OR(ISNUMBER(SEARCH("A8",C53)),AND(ISNUMBER(SEARCH("A0",C53)),ISNUMBER(SEARCH("ETARGET",D53)))),1,0)</f>
        <v>1</v>
      </c>
      <c r="AH53" s="2"/>
      <c r="AI53" s="9" t="s">
        <v>228</v>
      </c>
      <c r="AJ53" s="9" t="s">
        <v>228</v>
      </c>
      <c r="AK53" s="9" t="s">
        <v>228</v>
      </c>
      <c r="AL53" s="9" t="s">
        <v>227</v>
      </c>
      <c r="AM53" s="2"/>
      <c r="AN53" s="2"/>
      <c r="AO53" s="2"/>
      <c r="AP53" s="2"/>
      <c r="AQ53" s="2"/>
      <c r="AR53" s="2"/>
      <c r="AS53" s="6" t="n">
        <f aca="false">IF(COUNTIF(AI53:AR53,"pass")+COUNTIF(AI53:AR53,"fail")=0,"",COUNTIF(AI53:AR53,"pass")/(COUNTIF(AI53:AR53,"pass")+COUNTIF(AI53:AR53,"fail")))</f>
        <v>0.75</v>
      </c>
      <c r="AT53" s="6" t="str">
        <f aca="false">IF(COUNTIF(Runs!$A$2:$A$61,A53)&gt;0,"yes","no, a void attempt")</f>
        <v>yes</v>
      </c>
    </row>
    <row r="54" customFormat="false" ht="15" hidden="false" customHeight="false" outlineLevel="0" collapsed="false">
      <c r="A54" s="9" t="s">
        <v>147</v>
      </c>
      <c r="B54" s="9" t="s">
        <v>135</v>
      </c>
      <c r="C54" s="9"/>
      <c r="D54" s="9" t="s">
        <v>226</v>
      </c>
      <c r="E54" s="9" t="s">
        <v>228</v>
      </c>
      <c r="F54" s="9" t="s">
        <v>228</v>
      </c>
      <c r="G54" s="9" t="s">
        <v>228</v>
      </c>
      <c r="H54" s="9" t="s">
        <v>228</v>
      </c>
      <c r="I54" s="9" t="s">
        <v>228</v>
      </c>
      <c r="J54" s="9" t="s">
        <v>228</v>
      </c>
      <c r="K54" s="9" t="s">
        <v>227</v>
      </c>
      <c r="L54" s="9" t="s">
        <v>228</v>
      </c>
      <c r="M54" s="9" t="s">
        <v>228</v>
      </c>
      <c r="N54" s="9" t="s">
        <v>228</v>
      </c>
      <c r="O54" s="9" t="s">
        <v>228</v>
      </c>
      <c r="P54" s="9" t="s">
        <v>228</v>
      </c>
      <c r="Q54" s="9" t="s">
        <v>228</v>
      </c>
      <c r="R54" s="9" t="s">
        <v>228</v>
      </c>
      <c r="S54" s="9" t="s">
        <v>228</v>
      </c>
      <c r="T54" s="2"/>
      <c r="U54" s="2"/>
      <c r="V54" s="2"/>
      <c r="W54" s="2"/>
      <c r="X54" s="2"/>
      <c r="Y54" s="2"/>
      <c r="Z54" s="2"/>
      <c r="AA54" s="2"/>
      <c r="AB54" s="2"/>
      <c r="AC54" s="2"/>
      <c r="AD54" s="2"/>
      <c r="AE54" s="2"/>
      <c r="AF54" s="6" t="n">
        <f aca="false">ROUND(100*SUMPRODUCT(($E54:$AD54="pass")*$E$39:$AD$39)/SUMPRODUCT((($E54:$AD54="pass")+($E54:$AD54="fail"))*$E$39:$AD$39),2)</f>
        <v>96.3</v>
      </c>
      <c r="AG54" s="6" t="n">
        <f aca="false">IF(OR(ISNUMBER(SEARCH("A8",C54)),AND(ISNUMBER(SEARCH("A0",C54)),ISNUMBER(SEARCH("ETARGET",D54)))),1,0)</f>
        <v>0</v>
      </c>
      <c r="AH54" s="2"/>
      <c r="AI54" s="9" t="s">
        <v>228</v>
      </c>
      <c r="AJ54" s="9" t="s">
        <v>227</v>
      </c>
      <c r="AK54" s="9" t="s">
        <v>228</v>
      </c>
      <c r="AL54" s="9" t="s">
        <v>227</v>
      </c>
      <c r="AM54" s="2"/>
      <c r="AN54" s="2"/>
      <c r="AO54" s="2"/>
      <c r="AP54" s="2"/>
      <c r="AQ54" s="2"/>
      <c r="AR54" s="2"/>
      <c r="AS54" s="6" t="n">
        <f aca="false">IF(COUNTIF(AI54:AR54,"pass")+COUNTIF(AI54:AR54,"fail")=0,"",COUNTIF(AI54:AR54,"pass")/(COUNTIF(AI54:AR54,"pass")+COUNTIF(AI54:AR54,"fail")))</f>
        <v>0.5</v>
      </c>
      <c r="AT54" s="6" t="str">
        <f aca="false">IF(COUNTIF(Runs!$A$2:$A$61,A54)&gt;0,"yes","no, a void attempt")</f>
        <v>yes</v>
      </c>
    </row>
    <row r="55" customFormat="false" ht="15" hidden="false" customHeight="false" outlineLevel="0" collapsed="false">
      <c r="A55" s="9" t="s">
        <v>141</v>
      </c>
      <c r="B55" s="9" t="s">
        <v>135</v>
      </c>
      <c r="C55" s="9"/>
      <c r="D55" s="9" t="s">
        <v>226</v>
      </c>
      <c r="E55" s="9" t="s">
        <v>227</v>
      </c>
      <c r="F55" s="9" t="s">
        <v>227</v>
      </c>
      <c r="G55" s="9" t="s">
        <v>228</v>
      </c>
      <c r="H55" s="9" t="s">
        <v>227</v>
      </c>
      <c r="I55" s="9" t="s">
        <v>227</v>
      </c>
      <c r="J55" s="9" t="s">
        <v>228</v>
      </c>
      <c r="K55" s="9" t="s">
        <v>227</v>
      </c>
      <c r="L55" s="9" t="s">
        <v>227</v>
      </c>
      <c r="M55" s="9" t="s">
        <v>227</v>
      </c>
      <c r="N55" s="9" t="s">
        <v>227</v>
      </c>
      <c r="O55" s="9" t="s">
        <v>227</v>
      </c>
      <c r="P55" s="9" t="s">
        <v>227</v>
      </c>
      <c r="Q55" s="9" t="s">
        <v>227</v>
      </c>
      <c r="R55" s="9" t="s">
        <v>227</v>
      </c>
      <c r="S55" s="9" t="s">
        <v>227</v>
      </c>
      <c r="T55" s="2"/>
      <c r="U55" s="2"/>
      <c r="V55" s="2"/>
      <c r="W55" s="2"/>
      <c r="X55" s="2"/>
      <c r="Y55" s="2"/>
      <c r="Z55" s="2"/>
      <c r="AA55" s="2"/>
      <c r="AB55" s="2"/>
      <c r="AC55" s="2"/>
      <c r="AD55" s="2"/>
      <c r="AE55" s="2"/>
      <c r="AF55" s="6" t="n">
        <f aca="false">ROUND(100*SUMPRODUCT(($E55:$AD55="pass")*$E$39:$AD$39)/SUMPRODUCT((($E55:$AD55="pass")+($E55:$AD55="fail"))*$E$39:$AD$39),2)</f>
        <v>18.52</v>
      </c>
      <c r="AG55" s="6" t="n">
        <f aca="false">IF(OR(ISNUMBER(SEARCH("A8",C55)),AND(ISNUMBER(SEARCH("A0",C55)),ISNUMBER(SEARCH("ETARGET",D55)))),1,0)</f>
        <v>0</v>
      </c>
      <c r="AH55" s="2"/>
      <c r="AI55" s="9" t="s">
        <v>227</v>
      </c>
      <c r="AJ55" s="9" t="s">
        <v>227</v>
      </c>
      <c r="AK55" s="9" t="s">
        <v>227</v>
      </c>
      <c r="AL55" s="9" t="s">
        <v>228</v>
      </c>
      <c r="AM55" s="2"/>
      <c r="AN55" s="2"/>
      <c r="AO55" s="2"/>
      <c r="AP55" s="2"/>
      <c r="AQ55" s="2"/>
      <c r="AR55" s="2"/>
      <c r="AS55" s="6" t="n">
        <f aca="false">IF(COUNTIF(AI55:AR55,"pass")+COUNTIF(AI55:AR55,"fail")=0,"",COUNTIF(AI55:AR55,"pass")/(COUNTIF(AI55:AR55,"pass")+COUNTIF(AI55:AR55,"fail")))</f>
        <v>0.25</v>
      </c>
      <c r="AT55" s="6" t="str">
        <f aca="false">IF(COUNTIF(Runs!$A$2:$A$61,A55)&gt;0,"yes","no, a void attempt")</f>
        <v>yes</v>
      </c>
    </row>
    <row r="56" customFormat="false" ht="15" hidden="false" customHeight="false" outlineLevel="0" collapsed="false">
      <c r="A56" s="9" t="s">
        <v>153</v>
      </c>
      <c r="B56" s="9" t="s">
        <v>135</v>
      </c>
      <c r="C56" s="9" t="s">
        <v>231</v>
      </c>
      <c r="D56" s="9" t="s">
        <v>232</v>
      </c>
      <c r="E56" s="9" t="s">
        <v>228</v>
      </c>
      <c r="F56" s="9" t="s">
        <v>228</v>
      </c>
      <c r="G56" s="9" t="s">
        <v>228</v>
      </c>
      <c r="H56" s="9" t="s">
        <v>228</v>
      </c>
      <c r="I56" s="9" t="s">
        <v>228</v>
      </c>
      <c r="J56" s="9" t="s">
        <v>228</v>
      </c>
      <c r="K56" s="9" t="s">
        <v>228</v>
      </c>
      <c r="L56" s="9" t="s">
        <v>228</v>
      </c>
      <c r="M56" s="9" t="s">
        <v>228</v>
      </c>
      <c r="N56" s="9" t="s">
        <v>228</v>
      </c>
      <c r="O56" s="9" t="s">
        <v>228</v>
      </c>
      <c r="P56" s="9" t="s">
        <v>228</v>
      </c>
      <c r="Q56" s="9" t="s">
        <v>228</v>
      </c>
      <c r="R56" s="9" t="s">
        <v>228</v>
      </c>
      <c r="S56" s="9" t="s">
        <v>227</v>
      </c>
      <c r="T56" s="2"/>
      <c r="U56" s="2"/>
      <c r="V56" s="2"/>
      <c r="W56" s="2"/>
      <c r="X56" s="2"/>
      <c r="Y56" s="2"/>
      <c r="Z56" s="2"/>
      <c r="AA56" s="2"/>
      <c r="AB56" s="2"/>
      <c r="AC56" s="2"/>
      <c r="AD56" s="2"/>
      <c r="AE56" s="2"/>
      <c r="AF56" s="6" t="n">
        <f aca="false">ROUND(100*SUMPRODUCT(($E56:$AD56="pass")*$E$39:$AD$39)/SUMPRODUCT((($E56:$AD56="pass")+($E56:$AD56="fail"))*$E$39:$AD$39),2)</f>
        <v>96.3</v>
      </c>
      <c r="AG56" s="6" t="n">
        <f aca="false">IF(OR(ISNUMBER(SEARCH("A8",C56)),AND(ISNUMBER(SEARCH("A0",C56)),ISNUMBER(SEARCH("ETARGET",D56)))),1,0)</f>
        <v>1</v>
      </c>
      <c r="AH56" s="2"/>
      <c r="AI56" s="9" t="s">
        <v>228</v>
      </c>
      <c r="AJ56" s="9" t="s">
        <v>227</v>
      </c>
      <c r="AK56" s="9" t="s">
        <v>228</v>
      </c>
      <c r="AL56" s="9" t="s">
        <v>227</v>
      </c>
      <c r="AM56" s="2"/>
      <c r="AN56" s="2"/>
      <c r="AO56" s="2"/>
      <c r="AP56" s="2"/>
      <c r="AQ56" s="2"/>
      <c r="AR56" s="2"/>
      <c r="AS56" s="6" t="n">
        <f aca="false">IF(COUNTIF(AI56:AR56,"pass")+COUNTIF(AI56:AR56,"fail")=0,"",COUNTIF(AI56:AR56,"pass")/(COUNTIF(AI56:AR56,"pass")+COUNTIF(AI56:AR56,"fail")))</f>
        <v>0.5</v>
      </c>
      <c r="AT56" s="6" t="str">
        <f aca="false">IF(COUNTIF(Runs!$A$2:$A$61,A56)&gt;0,"yes","no, a void attempt")</f>
        <v>yes</v>
      </c>
    </row>
    <row r="57" customFormat="false" ht="15" hidden="false" customHeight="false" outlineLevel="0" collapsed="false">
      <c r="A57" s="9" t="s">
        <v>148</v>
      </c>
      <c r="B57" s="9" t="s">
        <v>135</v>
      </c>
      <c r="C57" s="9"/>
      <c r="D57" s="9" t="s">
        <v>226</v>
      </c>
      <c r="E57" s="9" t="s">
        <v>228</v>
      </c>
      <c r="F57" s="9" t="s">
        <v>228</v>
      </c>
      <c r="G57" s="9" t="s">
        <v>228</v>
      </c>
      <c r="H57" s="9" t="s">
        <v>228</v>
      </c>
      <c r="I57" s="9" t="s">
        <v>228</v>
      </c>
      <c r="J57" s="9" t="s">
        <v>227</v>
      </c>
      <c r="K57" s="9" t="s">
        <v>228</v>
      </c>
      <c r="L57" s="9" t="s">
        <v>228</v>
      </c>
      <c r="M57" s="9" t="s">
        <v>228</v>
      </c>
      <c r="N57" s="9" t="s">
        <v>228</v>
      </c>
      <c r="O57" s="9" t="s">
        <v>228</v>
      </c>
      <c r="P57" s="9" t="s">
        <v>228</v>
      </c>
      <c r="Q57" s="9" t="s">
        <v>228</v>
      </c>
      <c r="R57" s="9" t="s">
        <v>228</v>
      </c>
      <c r="S57" s="9" t="s">
        <v>228</v>
      </c>
      <c r="T57" s="2"/>
      <c r="U57" s="2"/>
      <c r="V57" s="2"/>
      <c r="W57" s="2"/>
      <c r="X57" s="2"/>
      <c r="Y57" s="2"/>
      <c r="Z57" s="2"/>
      <c r="AA57" s="2"/>
      <c r="AB57" s="2"/>
      <c r="AC57" s="2"/>
      <c r="AD57" s="2"/>
      <c r="AE57" s="2"/>
      <c r="AF57" s="6" t="n">
        <f aca="false">ROUND(100*SUMPRODUCT(($E57:$AD57="pass")*$E$39:$AD$39)/SUMPRODUCT((($E57:$AD57="pass")+($E57:$AD57="fail"))*$E$39:$AD$39),2)</f>
        <v>92.59</v>
      </c>
      <c r="AG57" s="6" t="n">
        <f aca="false">IF(OR(ISNUMBER(SEARCH("A8",C57)),AND(ISNUMBER(SEARCH("A0",C57)),ISNUMBER(SEARCH("ETARGET",D57)))),1,0)</f>
        <v>0</v>
      </c>
      <c r="AH57" s="2"/>
      <c r="AI57" s="9" t="s">
        <v>228</v>
      </c>
      <c r="AJ57" s="9" t="s">
        <v>228</v>
      </c>
      <c r="AK57" s="9" t="s">
        <v>227</v>
      </c>
      <c r="AL57" s="9" t="s">
        <v>227</v>
      </c>
      <c r="AM57" s="2"/>
      <c r="AN57" s="2"/>
      <c r="AO57" s="2"/>
      <c r="AP57" s="2"/>
      <c r="AQ57" s="2"/>
      <c r="AR57" s="2"/>
      <c r="AS57" s="6" t="n">
        <f aca="false">IF(COUNTIF(AI57:AR57,"pass")+COUNTIF(AI57:AR57,"fail")=0,"",COUNTIF(AI57:AR57,"pass")/(COUNTIF(AI57:AR57,"pass")+COUNTIF(AI57:AR57,"fail")))</f>
        <v>0.5</v>
      </c>
      <c r="AT57" s="6" t="str">
        <f aca="false">IF(COUNTIF(Runs!$A$2:$A$61,A57)&gt;0,"yes","no, a void attempt")</f>
        <v>yes</v>
      </c>
    </row>
    <row r="58" customFormat="false" ht="15" hidden="false" customHeight="false" outlineLevel="0" collapsed="false">
      <c r="A58" s="9" t="s">
        <v>150</v>
      </c>
      <c r="B58" s="9" t="s">
        <v>135</v>
      </c>
      <c r="C58" s="9"/>
      <c r="D58" s="9" t="s">
        <v>226</v>
      </c>
      <c r="E58" s="9" t="s">
        <v>228</v>
      </c>
      <c r="F58" s="9" t="s">
        <v>228</v>
      </c>
      <c r="G58" s="9" t="s">
        <v>228</v>
      </c>
      <c r="H58" s="9" t="s">
        <v>228</v>
      </c>
      <c r="I58" s="9" t="s">
        <v>228</v>
      </c>
      <c r="J58" s="9" t="s">
        <v>228</v>
      </c>
      <c r="K58" s="9" t="s">
        <v>227</v>
      </c>
      <c r="L58" s="9" t="s">
        <v>228</v>
      </c>
      <c r="M58" s="9" t="s">
        <v>228</v>
      </c>
      <c r="N58" s="9" t="s">
        <v>228</v>
      </c>
      <c r="O58" s="9" t="s">
        <v>228</v>
      </c>
      <c r="P58" s="9" t="s">
        <v>228</v>
      </c>
      <c r="Q58" s="9" t="s">
        <v>228</v>
      </c>
      <c r="R58" s="9" t="s">
        <v>228</v>
      </c>
      <c r="S58" s="9" t="s">
        <v>228</v>
      </c>
      <c r="T58" s="2"/>
      <c r="U58" s="2"/>
      <c r="V58" s="2"/>
      <c r="W58" s="2"/>
      <c r="X58" s="2"/>
      <c r="Y58" s="2"/>
      <c r="Z58" s="2"/>
      <c r="AA58" s="2"/>
      <c r="AB58" s="2"/>
      <c r="AC58" s="2"/>
      <c r="AD58" s="2"/>
      <c r="AE58" s="2"/>
      <c r="AF58" s="6" t="n">
        <f aca="false">ROUND(100*SUMPRODUCT(($E58:$AD58="pass")*$E$39:$AD$39)/SUMPRODUCT((($E58:$AD58="pass")+($E58:$AD58="fail"))*$E$39:$AD$39),2)</f>
        <v>96.3</v>
      </c>
      <c r="AG58" s="6" t="n">
        <f aca="false">IF(OR(ISNUMBER(SEARCH("A8",C58)),AND(ISNUMBER(SEARCH("A0",C58)),ISNUMBER(SEARCH("ETARGET",D58)))),1,0)</f>
        <v>0</v>
      </c>
      <c r="AH58" s="2"/>
      <c r="AI58" s="9" t="s">
        <v>228</v>
      </c>
      <c r="AJ58" s="9" t="s">
        <v>227</v>
      </c>
      <c r="AK58" s="9" t="s">
        <v>228</v>
      </c>
      <c r="AL58" s="9" t="s">
        <v>228</v>
      </c>
      <c r="AM58" s="2"/>
      <c r="AN58" s="2"/>
      <c r="AO58" s="2"/>
      <c r="AP58" s="2"/>
      <c r="AQ58" s="2"/>
      <c r="AR58" s="2"/>
      <c r="AS58" s="6" t="n">
        <f aca="false">IF(COUNTIF(AI58:AR58,"pass")+COUNTIF(AI58:AR58,"fail")=0,"",COUNTIF(AI58:AR58,"pass")/(COUNTIF(AI58:AR58,"pass")+COUNTIF(AI58:AR58,"fail")))</f>
        <v>0.75</v>
      </c>
      <c r="AT58" s="6" t="str">
        <f aca="false">IF(COUNTIF(Runs!$A$2:$A$61,A58)&gt;0,"yes","no, a void attempt")</f>
        <v>yes</v>
      </c>
    </row>
    <row r="59" customFormat="false" ht="15" hidden="false" customHeight="false" outlineLevel="0" collapsed="false">
      <c r="A59" s="9" t="s">
        <v>134</v>
      </c>
      <c r="B59" s="9" t="s">
        <v>135</v>
      </c>
      <c r="C59" s="9" t="s">
        <v>229</v>
      </c>
      <c r="D59" s="9" t="s">
        <v>230</v>
      </c>
      <c r="E59" s="9" t="s">
        <v>228</v>
      </c>
      <c r="F59" s="9" t="s">
        <v>228</v>
      </c>
      <c r="G59" s="9" t="s">
        <v>228</v>
      </c>
      <c r="H59" s="9" t="s">
        <v>228</v>
      </c>
      <c r="I59" s="9" t="s">
        <v>228</v>
      </c>
      <c r="J59" s="9" t="s">
        <v>228</v>
      </c>
      <c r="K59" s="9" t="s">
        <v>227</v>
      </c>
      <c r="L59" s="9" t="s">
        <v>228</v>
      </c>
      <c r="M59" s="9" t="s">
        <v>228</v>
      </c>
      <c r="N59" s="9" t="s">
        <v>228</v>
      </c>
      <c r="O59" s="9" t="s">
        <v>228</v>
      </c>
      <c r="P59" s="9" t="s">
        <v>228</v>
      </c>
      <c r="Q59" s="9" t="s">
        <v>228</v>
      </c>
      <c r="R59" s="9" t="s">
        <v>228</v>
      </c>
      <c r="S59" s="9" t="s">
        <v>228</v>
      </c>
      <c r="T59" s="2"/>
      <c r="U59" s="2"/>
      <c r="V59" s="2"/>
      <c r="W59" s="2"/>
      <c r="X59" s="2"/>
      <c r="Y59" s="2"/>
      <c r="Z59" s="2"/>
      <c r="AA59" s="2"/>
      <c r="AB59" s="2"/>
      <c r="AC59" s="2"/>
      <c r="AD59" s="2"/>
      <c r="AE59" s="2"/>
      <c r="AF59" s="6" t="n">
        <f aca="false">ROUND(100*SUMPRODUCT(($E59:$AD59="pass")*$E$39:$AD$39)/SUMPRODUCT((($E59:$AD59="pass")+($E59:$AD59="fail"))*$E$39:$AD$39),2)</f>
        <v>96.3</v>
      </c>
      <c r="AG59" s="6" t="n">
        <f aca="false">IF(OR(ISNUMBER(SEARCH("A8",C59)),AND(ISNUMBER(SEARCH("A0",C59)),ISNUMBER(SEARCH("ETARGET",D59)))),1,0)</f>
        <v>1</v>
      </c>
      <c r="AH59" s="2"/>
      <c r="AI59" s="9" t="s">
        <v>227</v>
      </c>
      <c r="AJ59" s="9" t="s">
        <v>228</v>
      </c>
      <c r="AK59" s="9" t="s">
        <v>228</v>
      </c>
      <c r="AL59" s="9" t="s">
        <v>228</v>
      </c>
      <c r="AM59" s="2"/>
      <c r="AN59" s="2"/>
      <c r="AO59" s="2"/>
      <c r="AP59" s="2"/>
      <c r="AQ59" s="2"/>
      <c r="AR59" s="2"/>
      <c r="AS59" s="6" t="n">
        <f aca="false">IF(COUNTIF(AI59:AR59,"pass")+COUNTIF(AI59:AR59,"fail")=0,"",COUNTIF(AI59:AR59,"pass")/(COUNTIF(AI59:AR59,"pass")+COUNTIF(AI59:AR59,"fail")))</f>
        <v>0.75</v>
      </c>
      <c r="AT59" s="6" t="str">
        <f aca="false">IF(COUNTIF(Runs!$A$2:$A$61,A59)&gt;0,"yes","no, a void attempt")</f>
        <v>yes</v>
      </c>
    </row>
    <row r="60" customFormat="false" ht="15" hidden="false" customHeight="false" outlineLevel="0" collapsed="false">
      <c r="A60" s="9" t="s">
        <v>173</v>
      </c>
      <c r="B60" s="9" t="s">
        <v>135</v>
      </c>
      <c r="C60" s="9"/>
      <c r="D60" s="9" t="s">
        <v>226</v>
      </c>
      <c r="E60" s="9" t="s">
        <v>228</v>
      </c>
      <c r="F60" s="9" t="s">
        <v>228</v>
      </c>
      <c r="G60" s="9" t="s">
        <v>228</v>
      </c>
      <c r="H60" s="9" t="s">
        <v>227</v>
      </c>
      <c r="I60" s="9" t="s">
        <v>228</v>
      </c>
      <c r="J60" s="9" t="s">
        <v>228</v>
      </c>
      <c r="K60" s="9" t="s">
        <v>228</v>
      </c>
      <c r="L60" s="9" t="s">
        <v>228</v>
      </c>
      <c r="M60" s="9" t="s">
        <v>228</v>
      </c>
      <c r="N60" s="9" t="s">
        <v>228</v>
      </c>
      <c r="O60" s="9" t="s">
        <v>228</v>
      </c>
      <c r="P60" s="9" t="s">
        <v>228</v>
      </c>
      <c r="Q60" s="9" t="s">
        <v>228</v>
      </c>
      <c r="R60" s="9" t="s">
        <v>228</v>
      </c>
      <c r="S60" s="9" t="s">
        <v>228</v>
      </c>
      <c r="T60" s="2"/>
      <c r="U60" s="2"/>
      <c r="V60" s="2"/>
      <c r="W60" s="2"/>
      <c r="X60" s="2"/>
      <c r="Y60" s="2"/>
      <c r="Z60" s="2"/>
      <c r="AA60" s="2"/>
      <c r="AB60" s="2"/>
      <c r="AC60" s="2"/>
      <c r="AD60" s="2"/>
      <c r="AE60" s="2"/>
      <c r="AF60" s="6" t="n">
        <f aca="false">ROUND(100*SUMPRODUCT(($E60:$AD60="pass")*$E$39:$AD$39)/SUMPRODUCT((($E60:$AD60="pass")+($E60:$AD60="fail"))*$E$39:$AD$39),2)</f>
        <v>92.59</v>
      </c>
      <c r="AG60" s="6" t="n">
        <f aca="false">IF(OR(ISNUMBER(SEARCH("A8",C60)),AND(ISNUMBER(SEARCH("A0",C60)),ISNUMBER(SEARCH("ETARGET",D60)))),1,0)</f>
        <v>0</v>
      </c>
      <c r="AH60" s="2"/>
      <c r="AI60" s="9" t="s">
        <v>227</v>
      </c>
      <c r="AJ60" s="9" t="s">
        <v>228</v>
      </c>
      <c r="AK60" s="9" t="s">
        <v>228</v>
      </c>
      <c r="AL60" s="9" t="s">
        <v>228</v>
      </c>
      <c r="AM60" s="2"/>
      <c r="AN60" s="2"/>
      <c r="AO60" s="2"/>
      <c r="AP60" s="2"/>
      <c r="AQ60" s="2"/>
      <c r="AR60" s="2"/>
      <c r="AS60" s="6" t="n">
        <f aca="false">IF(COUNTIF(AI60:AR60,"pass")+COUNTIF(AI60:AR60,"fail")=0,"",COUNTIF(AI60:AR60,"pass")/(COUNTIF(AI60:AR60,"pass")+COUNTIF(AI60:AR60,"fail")))</f>
        <v>0.75</v>
      </c>
      <c r="AT60" s="6" t="str">
        <f aca="false">IF(COUNTIF(Runs!$A$2:$A$61,A60)&gt;0,"yes","no, a void attempt")</f>
        <v>yes</v>
      </c>
    </row>
    <row r="61" customFormat="false" ht="15" hidden="false" customHeight="false" outlineLevel="0" collapsed="false">
      <c r="A61" s="9" t="s">
        <v>171</v>
      </c>
      <c r="B61" s="9" t="s">
        <v>135</v>
      </c>
      <c r="C61" s="9"/>
      <c r="D61" s="9" t="s">
        <v>226</v>
      </c>
      <c r="E61" s="9" t="s">
        <v>228</v>
      </c>
      <c r="F61" s="9" t="s">
        <v>228</v>
      </c>
      <c r="G61" s="9" t="s">
        <v>228</v>
      </c>
      <c r="H61" s="9" t="s">
        <v>228</v>
      </c>
      <c r="I61" s="9" t="s">
        <v>227</v>
      </c>
      <c r="J61" s="9" t="s">
        <v>228</v>
      </c>
      <c r="K61" s="9" t="s">
        <v>228</v>
      </c>
      <c r="L61" s="9" t="s">
        <v>228</v>
      </c>
      <c r="M61" s="9" t="s">
        <v>228</v>
      </c>
      <c r="N61" s="9" t="s">
        <v>228</v>
      </c>
      <c r="O61" s="9" t="s">
        <v>228</v>
      </c>
      <c r="P61" s="9" t="s">
        <v>228</v>
      </c>
      <c r="Q61" s="9" t="s">
        <v>228</v>
      </c>
      <c r="R61" s="9" t="s">
        <v>228</v>
      </c>
      <c r="S61" s="9" t="s">
        <v>227</v>
      </c>
      <c r="T61" s="2"/>
      <c r="U61" s="2"/>
      <c r="V61" s="2"/>
      <c r="W61" s="2"/>
      <c r="X61" s="2"/>
      <c r="Y61" s="2"/>
      <c r="Z61" s="2"/>
      <c r="AA61" s="2"/>
      <c r="AB61" s="2"/>
      <c r="AC61" s="2"/>
      <c r="AD61" s="2"/>
      <c r="AE61" s="2"/>
      <c r="AF61" s="6" t="n">
        <f aca="false">ROUND(100*SUMPRODUCT(($E61:$AD61="pass")*$E$39:$AD$39)/SUMPRODUCT((($E61:$AD61="pass")+($E61:$AD61="fail"))*$E$39:$AD$39),2)</f>
        <v>92.59</v>
      </c>
      <c r="AG61" s="6" t="n">
        <f aca="false">IF(OR(ISNUMBER(SEARCH("A8",C61)),AND(ISNUMBER(SEARCH("A0",C61)),ISNUMBER(SEARCH("ETARGET",D61)))),1,0)</f>
        <v>0</v>
      </c>
      <c r="AH61" s="2"/>
      <c r="AI61" s="9" t="s">
        <v>228</v>
      </c>
      <c r="AJ61" s="9" t="s">
        <v>228</v>
      </c>
      <c r="AK61" s="9" t="s">
        <v>227</v>
      </c>
      <c r="AL61" s="9" t="s">
        <v>228</v>
      </c>
      <c r="AM61" s="2"/>
      <c r="AN61" s="2"/>
      <c r="AO61" s="2"/>
      <c r="AP61" s="2"/>
      <c r="AQ61" s="2"/>
      <c r="AR61" s="2"/>
      <c r="AS61" s="6" t="n">
        <f aca="false">IF(COUNTIF(AI61:AR61,"pass")+COUNTIF(AI61:AR61,"fail")=0,"",COUNTIF(AI61:AR61,"pass")/(COUNTIF(AI61:AR61,"pass")+COUNTIF(AI61:AR61,"fail")))</f>
        <v>0.75</v>
      </c>
      <c r="AT61" s="6" t="str">
        <f aca="false">IF(COUNTIF(Runs!$A$2:$A$61,A61)&gt;0,"yes","no, a void attempt")</f>
        <v>yes</v>
      </c>
    </row>
    <row r="62" customFormat="false" ht="15" hidden="false" customHeight="false" outlineLevel="0" collapsed="false">
      <c r="A62" s="9" t="s">
        <v>176</v>
      </c>
      <c r="B62" s="9" t="s">
        <v>135</v>
      </c>
      <c r="C62" s="9"/>
      <c r="D62" s="9" t="s">
        <v>226</v>
      </c>
      <c r="E62" s="9" t="s">
        <v>228</v>
      </c>
      <c r="F62" s="9" t="s">
        <v>228</v>
      </c>
      <c r="G62" s="9" t="s">
        <v>228</v>
      </c>
      <c r="H62" s="9" t="s">
        <v>228</v>
      </c>
      <c r="I62" s="9" t="s">
        <v>228</v>
      </c>
      <c r="J62" s="9" t="s">
        <v>228</v>
      </c>
      <c r="K62" s="9" t="s">
        <v>228</v>
      </c>
      <c r="L62" s="9" t="s">
        <v>228</v>
      </c>
      <c r="M62" s="9" t="s">
        <v>227</v>
      </c>
      <c r="N62" s="9" t="s">
        <v>228</v>
      </c>
      <c r="O62" s="9" t="s">
        <v>228</v>
      </c>
      <c r="P62" s="9" t="s">
        <v>228</v>
      </c>
      <c r="Q62" s="9" t="s">
        <v>227</v>
      </c>
      <c r="R62" s="9" t="s">
        <v>228</v>
      </c>
      <c r="S62" s="9" t="s">
        <v>228</v>
      </c>
      <c r="T62" s="2"/>
      <c r="U62" s="2"/>
      <c r="V62" s="2"/>
      <c r="W62" s="2"/>
      <c r="X62" s="2"/>
      <c r="Y62" s="2"/>
      <c r="Z62" s="2"/>
      <c r="AA62" s="2"/>
      <c r="AB62" s="2"/>
      <c r="AC62" s="2"/>
      <c r="AD62" s="2"/>
      <c r="AE62" s="2"/>
      <c r="AF62" s="6" t="n">
        <f aca="false">ROUND(100*SUMPRODUCT(($E62:$AD62="pass")*$E$39:$AD$39)/SUMPRODUCT((($E62:$AD62="pass")+($E62:$AD62="fail"))*$E$39:$AD$39),2)</f>
        <v>88.89</v>
      </c>
      <c r="AG62" s="6" t="n">
        <f aca="false">IF(OR(ISNUMBER(SEARCH("A8",C62)),AND(ISNUMBER(SEARCH("A0",C62)),ISNUMBER(SEARCH("ETARGET",D62)))),1,0)</f>
        <v>0</v>
      </c>
      <c r="AH62" s="2"/>
      <c r="AI62" s="9" t="s">
        <v>228</v>
      </c>
      <c r="AJ62" s="9" t="s">
        <v>228</v>
      </c>
      <c r="AK62" s="9" t="s">
        <v>228</v>
      </c>
      <c r="AL62" s="9" t="s">
        <v>228</v>
      </c>
      <c r="AM62" s="2"/>
      <c r="AN62" s="2"/>
      <c r="AO62" s="2"/>
      <c r="AP62" s="2"/>
      <c r="AQ62" s="2"/>
      <c r="AR62" s="2"/>
      <c r="AS62" s="6" t="n">
        <f aca="false">IF(COUNTIF(AI62:AR62,"pass")+COUNTIF(AI62:AR62,"fail")=0,"",COUNTIF(AI62:AR62,"pass")/(COUNTIF(AI62:AR62,"pass")+COUNTIF(AI62:AR62,"fail")))</f>
        <v>1</v>
      </c>
      <c r="AT62" s="6" t="str">
        <f aca="false">IF(COUNTIF(Runs!$A$2:$A$61,A62)&gt;0,"yes","no, a void attempt")</f>
        <v>yes</v>
      </c>
    </row>
    <row r="63" customFormat="false" ht="15" hidden="false" customHeight="false" outlineLevel="0" collapsed="false">
      <c r="A63" s="9" t="s">
        <v>144</v>
      </c>
      <c r="B63" s="9" t="s">
        <v>135</v>
      </c>
      <c r="C63" s="9"/>
      <c r="D63" s="9" t="s">
        <v>226</v>
      </c>
      <c r="E63" s="9" t="s">
        <v>228</v>
      </c>
      <c r="F63" s="9" t="s">
        <v>228</v>
      </c>
      <c r="G63" s="9" t="s">
        <v>228</v>
      </c>
      <c r="H63" s="9" t="s">
        <v>228</v>
      </c>
      <c r="I63" s="9" t="s">
        <v>228</v>
      </c>
      <c r="J63" s="9" t="s">
        <v>228</v>
      </c>
      <c r="K63" s="9" t="s">
        <v>228</v>
      </c>
      <c r="L63" s="9" t="s">
        <v>228</v>
      </c>
      <c r="M63" s="9" t="s">
        <v>228</v>
      </c>
      <c r="N63" s="9" t="s">
        <v>228</v>
      </c>
      <c r="O63" s="9" t="s">
        <v>228</v>
      </c>
      <c r="P63" s="9" t="s">
        <v>228</v>
      </c>
      <c r="Q63" s="9" t="s">
        <v>228</v>
      </c>
      <c r="R63" s="9" t="s">
        <v>228</v>
      </c>
      <c r="S63" s="9" t="s">
        <v>228</v>
      </c>
      <c r="T63" s="2"/>
      <c r="U63" s="2"/>
      <c r="V63" s="2"/>
      <c r="W63" s="2"/>
      <c r="X63" s="2"/>
      <c r="Y63" s="2"/>
      <c r="Z63" s="2"/>
      <c r="AA63" s="2"/>
      <c r="AB63" s="2"/>
      <c r="AC63" s="2"/>
      <c r="AD63" s="2"/>
      <c r="AE63" s="2"/>
      <c r="AF63" s="6" t="n">
        <f aca="false">ROUND(100*SUMPRODUCT(($E63:$AD63="pass")*$E$39:$AD$39)/SUMPRODUCT((($E63:$AD63="pass")+($E63:$AD63="fail"))*$E$39:$AD$39),2)</f>
        <v>100</v>
      </c>
      <c r="AG63" s="6" t="n">
        <f aca="false">IF(OR(ISNUMBER(SEARCH("A8",C63)),AND(ISNUMBER(SEARCH("A0",C63)),ISNUMBER(SEARCH("ETARGET",D63)))),1,0)</f>
        <v>0</v>
      </c>
      <c r="AH63" s="2"/>
      <c r="AI63" s="9" t="s">
        <v>227</v>
      </c>
      <c r="AJ63" s="9" t="s">
        <v>228</v>
      </c>
      <c r="AK63" s="9" t="s">
        <v>227</v>
      </c>
      <c r="AL63" s="9" t="s">
        <v>227</v>
      </c>
      <c r="AM63" s="2"/>
      <c r="AN63" s="2"/>
      <c r="AO63" s="2"/>
      <c r="AP63" s="2"/>
      <c r="AQ63" s="2"/>
      <c r="AR63" s="2"/>
      <c r="AS63" s="6" t="n">
        <f aca="false">IF(COUNTIF(AI63:AR63,"pass")+COUNTIF(AI63:AR63,"fail")=0,"",COUNTIF(AI63:AR63,"pass")/(COUNTIF(AI63:AR63,"pass")+COUNTIF(AI63:AR63,"fail")))</f>
        <v>0.25</v>
      </c>
      <c r="AT63" s="6" t="str">
        <f aca="false">IF(COUNTIF(Runs!$A$2:$A$61,A63)&gt;0,"yes","no, a void attempt")</f>
        <v>yes</v>
      </c>
    </row>
    <row r="64" customFormat="false" ht="15" hidden="false" customHeight="false" outlineLevel="0" collapsed="false">
      <c r="A64" s="9" t="s">
        <v>137</v>
      </c>
      <c r="B64" s="9" t="s">
        <v>135</v>
      </c>
      <c r="C64" s="9"/>
      <c r="D64" s="9" t="s">
        <v>226</v>
      </c>
      <c r="E64" s="9" t="s">
        <v>227</v>
      </c>
      <c r="F64" s="9" t="s">
        <v>227</v>
      </c>
      <c r="G64" s="9" t="s">
        <v>227</v>
      </c>
      <c r="H64" s="9" t="s">
        <v>227</v>
      </c>
      <c r="I64" s="9" t="s">
        <v>227</v>
      </c>
      <c r="J64" s="9" t="s">
        <v>227</v>
      </c>
      <c r="K64" s="9" t="s">
        <v>227</v>
      </c>
      <c r="L64" s="9" t="s">
        <v>227</v>
      </c>
      <c r="M64" s="9" t="s">
        <v>227</v>
      </c>
      <c r="N64" s="9" t="s">
        <v>227</v>
      </c>
      <c r="O64" s="9" t="s">
        <v>227</v>
      </c>
      <c r="P64" s="9" t="s">
        <v>227</v>
      </c>
      <c r="Q64" s="9" t="s">
        <v>227</v>
      </c>
      <c r="R64" s="9" t="s">
        <v>227</v>
      </c>
      <c r="S64" s="9" t="s">
        <v>227</v>
      </c>
      <c r="T64" s="2"/>
      <c r="U64" s="2"/>
      <c r="V64" s="2"/>
      <c r="W64" s="2"/>
      <c r="X64" s="2"/>
      <c r="Y64" s="2"/>
      <c r="Z64" s="2"/>
      <c r="AA64" s="2"/>
      <c r="AB64" s="2"/>
      <c r="AC64" s="2"/>
      <c r="AD64" s="2"/>
      <c r="AE64" s="2"/>
      <c r="AF64" s="6" t="n">
        <f aca="false">ROUND(100*SUMPRODUCT(($E64:$AD64="pass")*$E$39:$AD$39)/SUMPRODUCT((($E64:$AD64="pass")+($E64:$AD64="fail"))*$E$39:$AD$39),2)</f>
        <v>0</v>
      </c>
      <c r="AG64" s="6" t="n">
        <f aca="false">IF(OR(ISNUMBER(SEARCH("A8",C64)),AND(ISNUMBER(SEARCH("A0",C64)),ISNUMBER(SEARCH("ETARGET",D64)))),1,0)</f>
        <v>0</v>
      </c>
      <c r="AH64" s="2"/>
      <c r="AI64" s="9" t="s">
        <v>227</v>
      </c>
      <c r="AJ64" s="9" t="s">
        <v>228</v>
      </c>
      <c r="AK64" s="9" t="s">
        <v>227</v>
      </c>
      <c r="AL64" s="9" t="s">
        <v>228</v>
      </c>
      <c r="AM64" s="2"/>
      <c r="AN64" s="2"/>
      <c r="AO64" s="2"/>
      <c r="AP64" s="2"/>
      <c r="AQ64" s="2"/>
      <c r="AR64" s="2"/>
      <c r="AS64" s="6" t="n">
        <f aca="false">IF(COUNTIF(AI64:AR64,"pass")+COUNTIF(AI64:AR64,"fail")=0,"",COUNTIF(AI64:AR64,"pass")/(COUNTIF(AI64:AR64,"pass")+COUNTIF(AI64:AR64,"fail")))</f>
        <v>0.5</v>
      </c>
      <c r="AT64" s="6" t="str">
        <f aca="false">IF(COUNTIF(Runs!$A$2:$A$61,A64)&gt;0,"yes","no, a void attempt")</f>
        <v>yes</v>
      </c>
    </row>
    <row r="65" customFormat="false" ht="15" hidden="false" customHeight="false" outlineLevel="0" collapsed="false">
      <c r="A65" s="9" t="s">
        <v>140</v>
      </c>
      <c r="B65" s="9" t="s">
        <v>135</v>
      </c>
      <c r="C65" s="9"/>
      <c r="D65" s="9" t="s">
        <v>226</v>
      </c>
      <c r="E65" s="9" t="s">
        <v>228</v>
      </c>
      <c r="F65" s="9" t="s">
        <v>228</v>
      </c>
      <c r="G65" s="9" t="s">
        <v>228</v>
      </c>
      <c r="H65" s="9" t="s">
        <v>228</v>
      </c>
      <c r="I65" s="9" t="s">
        <v>228</v>
      </c>
      <c r="J65" s="9" t="s">
        <v>228</v>
      </c>
      <c r="K65" s="9" t="s">
        <v>228</v>
      </c>
      <c r="L65" s="9" t="s">
        <v>228</v>
      </c>
      <c r="M65" s="9" t="s">
        <v>228</v>
      </c>
      <c r="N65" s="9" t="s">
        <v>228</v>
      </c>
      <c r="O65" s="9" t="s">
        <v>228</v>
      </c>
      <c r="P65" s="9" t="s">
        <v>228</v>
      </c>
      <c r="Q65" s="9" t="s">
        <v>228</v>
      </c>
      <c r="R65" s="9" t="s">
        <v>228</v>
      </c>
      <c r="S65" s="9" t="s">
        <v>228</v>
      </c>
      <c r="T65" s="2"/>
      <c r="U65" s="2"/>
      <c r="V65" s="2"/>
      <c r="W65" s="2"/>
      <c r="X65" s="2"/>
      <c r="Y65" s="2"/>
      <c r="Z65" s="2"/>
      <c r="AA65" s="2"/>
      <c r="AB65" s="2"/>
      <c r="AC65" s="2"/>
      <c r="AD65" s="2"/>
      <c r="AE65" s="2"/>
      <c r="AF65" s="6" t="n">
        <f aca="false">ROUND(100*SUMPRODUCT(($E65:$AD65="pass")*$E$39:$AD$39)/SUMPRODUCT((($E65:$AD65="pass")+($E65:$AD65="fail"))*$E$39:$AD$39),2)</f>
        <v>100</v>
      </c>
      <c r="AG65" s="6" t="n">
        <f aca="false">IF(OR(ISNUMBER(SEARCH("A8",C65)),AND(ISNUMBER(SEARCH("A0",C65)),ISNUMBER(SEARCH("ETARGET",D65)))),1,0)</f>
        <v>0</v>
      </c>
      <c r="AH65" s="2"/>
      <c r="AI65" s="9" t="s">
        <v>228</v>
      </c>
      <c r="AJ65" s="9" t="s">
        <v>227</v>
      </c>
      <c r="AK65" s="9" t="s">
        <v>228</v>
      </c>
      <c r="AL65" s="9" t="s">
        <v>227</v>
      </c>
      <c r="AM65" s="2"/>
      <c r="AN65" s="2"/>
      <c r="AO65" s="2"/>
      <c r="AP65" s="2"/>
      <c r="AQ65" s="2"/>
      <c r="AR65" s="2"/>
      <c r="AS65" s="6" t="n">
        <f aca="false">IF(COUNTIF(AI65:AR65,"pass")+COUNTIF(AI65:AR65,"fail")=0,"",COUNTIF(AI65:AR65,"pass")/(COUNTIF(AI65:AR65,"pass")+COUNTIF(AI65:AR65,"fail")))</f>
        <v>0.5</v>
      </c>
      <c r="AT65" s="6" t="str">
        <f aca="false">IF(COUNTIF(Runs!$A$2:$A$61,A65)&gt;0,"yes","no, a void attempt")</f>
        <v>yes</v>
      </c>
    </row>
    <row r="66" customFormat="false" ht="15" hidden="false" customHeight="false" outlineLevel="0" collapsed="false">
      <c r="A66" s="9" t="s">
        <v>152</v>
      </c>
      <c r="B66" s="9" t="s">
        <v>135</v>
      </c>
      <c r="C66" s="9"/>
      <c r="D66" s="9" t="s">
        <v>226</v>
      </c>
      <c r="E66" s="9" t="s">
        <v>228</v>
      </c>
      <c r="F66" s="9" t="s">
        <v>228</v>
      </c>
      <c r="G66" s="9" t="s">
        <v>228</v>
      </c>
      <c r="H66" s="9" t="s">
        <v>228</v>
      </c>
      <c r="I66" s="9" t="s">
        <v>228</v>
      </c>
      <c r="J66" s="9" t="s">
        <v>228</v>
      </c>
      <c r="K66" s="9" t="s">
        <v>228</v>
      </c>
      <c r="L66" s="9" t="s">
        <v>228</v>
      </c>
      <c r="M66" s="9" t="s">
        <v>228</v>
      </c>
      <c r="N66" s="9" t="s">
        <v>228</v>
      </c>
      <c r="O66" s="9" t="s">
        <v>228</v>
      </c>
      <c r="P66" s="9" t="s">
        <v>228</v>
      </c>
      <c r="Q66" s="9" t="s">
        <v>228</v>
      </c>
      <c r="R66" s="9" t="s">
        <v>228</v>
      </c>
      <c r="S66" s="9" t="s">
        <v>228</v>
      </c>
      <c r="T66" s="2"/>
      <c r="U66" s="2"/>
      <c r="V66" s="2"/>
      <c r="W66" s="2"/>
      <c r="X66" s="2"/>
      <c r="Y66" s="2"/>
      <c r="Z66" s="2"/>
      <c r="AA66" s="2"/>
      <c r="AB66" s="2"/>
      <c r="AC66" s="2"/>
      <c r="AD66" s="2"/>
      <c r="AE66" s="2"/>
      <c r="AF66" s="6" t="n">
        <f aca="false">ROUND(100*SUMPRODUCT(($E66:$AD66="pass")*$E$39:$AD$39)/SUMPRODUCT((($E66:$AD66="pass")+($E66:$AD66="fail"))*$E$39:$AD$39),2)</f>
        <v>100</v>
      </c>
      <c r="AG66" s="6" t="n">
        <f aca="false">IF(OR(ISNUMBER(SEARCH("A8",C66)),AND(ISNUMBER(SEARCH("A0",C66)),ISNUMBER(SEARCH("ETARGET",D66)))),1,0)</f>
        <v>0</v>
      </c>
      <c r="AH66" s="2"/>
      <c r="AI66" s="9" t="s">
        <v>227</v>
      </c>
      <c r="AJ66" s="9" t="s">
        <v>228</v>
      </c>
      <c r="AK66" s="9" t="s">
        <v>227</v>
      </c>
      <c r="AL66" s="9" t="s">
        <v>228</v>
      </c>
      <c r="AM66" s="2"/>
      <c r="AN66" s="2"/>
      <c r="AO66" s="2"/>
      <c r="AP66" s="2"/>
      <c r="AQ66" s="2"/>
      <c r="AR66" s="2"/>
      <c r="AS66" s="6" t="n">
        <f aca="false">IF(COUNTIF(AI66:AR66,"pass")+COUNTIF(AI66:AR66,"fail")=0,"",COUNTIF(AI66:AR66,"pass")/(COUNTIF(AI66:AR66,"pass")+COUNTIF(AI66:AR66,"fail")))</f>
        <v>0.5</v>
      </c>
      <c r="AT66" s="6" t="str">
        <f aca="false">IF(COUNTIF(Runs!$A$2:$A$61,A66)&gt;0,"yes","no, a void attempt")</f>
        <v>yes</v>
      </c>
    </row>
    <row r="67" customFormat="false" ht="15" hidden="false" customHeight="false" outlineLevel="0" collapsed="false">
      <c r="A67" s="9" t="s">
        <v>143</v>
      </c>
      <c r="B67" s="9" t="s">
        <v>135</v>
      </c>
      <c r="C67" s="9"/>
      <c r="D67" s="9" t="s">
        <v>226</v>
      </c>
      <c r="E67" s="9" t="s">
        <v>228</v>
      </c>
      <c r="F67" s="9" t="s">
        <v>228</v>
      </c>
      <c r="G67" s="9" t="s">
        <v>228</v>
      </c>
      <c r="H67" s="9" t="s">
        <v>228</v>
      </c>
      <c r="I67" s="9" t="s">
        <v>227</v>
      </c>
      <c r="J67" s="9" t="s">
        <v>228</v>
      </c>
      <c r="K67" s="9" t="s">
        <v>228</v>
      </c>
      <c r="L67" s="9" t="s">
        <v>228</v>
      </c>
      <c r="M67" s="9" t="s">
        <v>228</v>
      </c>
      <c r="N67" s="9" t="s">
        <v>228</v>
      </c>
      <c r="O67" s="9" t="s">
        <v>228</v>
      </c>
      <c r="P67" s="9" t="s">
        <v>228</v>
      </c>
      <c r="Q67" s="9" t="s">
        <v>227</v>
      </c>
      <c r="R67" s="9" t="s">
        <v>228</v>
      </c>
      <c r="S67" s="9" t="s">
        <v>228</v>
      </c>
      <c r="T67" s="2"/>
      <c r="U67" s="2"/>
      <c r="V67" s="2"/>
      <c r="W67" s="2"/>
      <c r="X67" s="2"/>
      <c r="Y67" s="2"/>
      <c r="Z67" s="2"/>
      <c r="AA67" s="2"/>
      <c r="AB67" s="2"/>
      <c r="AC67" s="2"/>
      <c r="AD67" s="2"/>
      <c r="AE67" s="2"/>
      <c r="AF67" s="6" t="n">
        <f aca="false">ROUND(100*SUMPRODUCT(($E67:$AD67="pass")*$E$39:$AD$39)/SUMPRODUCT((($E67:$AD67="pass")+($E67:$AD67="fail"))*$E$39:$AD$39),2)</f>
        <v>92.59</v>
      </c>
      <c r="AG67" s="6" t="n">
        <f aca="false">IF(OR(ISNUMBER(SEARCH("A8",C67)),AND(ISNUMBER(SEARCH("A0",C67)),ISNUMBER(SEARCH("ETARGET",D67)))),1,0)</f>
        <v>0</v>
      </c>
      <c r="AH67" s="2"/>
      <c r="AI67" s="9" t="s">
        <v>228</v>
      </c>
      <c r="AJ67" s="9" t="s">
        <v>227</v>
      </c>
      <c r="AK67" s="9" t="s">
        <v>228</v>
      </c>
      <c r="AL67" s="9" t="s">
        <v>227</v>
      </c>
      <c r="AM67" s="2"/>
      <c r="AN67" s="2"/>
      <c r="AO67" s="2"/>
      <c r="AP67" s="2"/>
      <c r="AQ67" s="2"/>
      <c r="AR67" s="2"/>
      <c r="AS67" s="6" t="n">
        <f aca="false">IF(COUNTIF(AI67:AR67,"pass")+COUNTIF(AI67:AR67,"fail")=0,"",COUNTIF(AI67:AR67,"pass")/(COUNTIF(AI67:AR67,"pass")+COUNTIF(AI67:AR67,"fail")))</f>
        <v>0.5</v>
      </c>
      <c r="AT67" s="6" t="str">
        <f aca="false">IF(COUNTIF(Runs!$A$2:$A$61,A67)&gt;0,"yes","no, a void attempt")</f>
        <v>yes</v>
      </c>
    </row>
    <row r="68" customFormat="false" ht="15" hidden="false" customHeight="false" outlineLevel="0" collapsed="false">
      <c r="A68" s="9" t="s">
        <v>175</v>
      </c>
      <c r="B68" s="9" t="s">
        <v>135</v>
      </c>
      <c r="C68" s="9"/>
      <c r="D68" s="9" t="s">
        <v>226</v>
      </c>
      <c r="E68" s="9" t="s">
        <v>228</v>
      </c>
      <c r="F68" s="9" t="s">
        <v>227</v>
      </c>
      <c r="G68" s="9" t="s">
        <v>227</v>
      </c>
      <c r="H68" s="9" t="s">
        <v>227</v>
      </c>
      <c r="I68" s="9" t="s">
        <v>227</v>
      </c>
      <c r="J68" s="9" t="s">
        <v>227</v>
      </c>
      <c r="K68" s="9" t="s">
        <v>227</v>
      </c>
      <c r="L68" s="9" t="s">
        <v>227</v>
      </c>
      <c r="M68" s="9" t="s">
        <v>227</v>
      </c>
      <c r="N68" s="9" t="s">
        <v>227</v>
      </c>
      <c r="O68" s="9" t="s">
        <v>227</v>
      </c>
      <c r="P68" s="9" t="s">
        <v>227</v>
      </c>
      <c r="Q68" s="9" t="s">
        <v>227</v>
      </c>
      <c r="R68" s="9" t="s">
        <v>227</v>
      </c>
      <c r="S68" s="9" t="s">
        <v>227</v>
      </c>
      <c r="T68" s="2"/>
      <c r="U68" s="2"/>
      <c r="V68" s="2"/>
      <c r="W68" s="2"/>
      <c r="X68" s="2"/>
      <c r="Y68" s="2"/>
      <c r="Z68" s="2"/>
      <c r="AA68" s="2"/>
      <c r="AB68" s="2"/>
      <c r="AC68" s="2"/>
      <c r="AD68" s="2"/>
      <c r="AE68" s="2"/>
      <c r="AF68" s="6" t="n">
        <f aca="false">ROUND(100*SUMPRODUCT(($E68:$AD68="pass")*$E$39:$AD$39)/SUMPRODUCT((($E68:$AD68="pass")+($E68:$AD68="fail"))*$E$39:$AD$39),2)</f>
        <v>3.7</v>
      </c>
      <c r="AG68" s="6" t="n">
        <f aca="false">IF(OR(ISNUMBER(SEARCH("A8",C68)),AND(ISNUMBER(SEARCH("A0",C68)),ISNUMBER(SEARCH("ETARGET",D68)))),1,0)</f>
        <v>0</v>
      </c>
      <c r="AH68" s="2"/>
      <c r="AI68" s="9" t="s">
        <v>228</v>
      </c>
      <c r="AJ68" s="9" t="s">
        <v>227</v>
      </c>
      <c r="AK68" s="9" t="s">
        <v>227</v>
      </c>
      <c r="AL68" s="9" t="s">
        <v>228</v>
      </c>
      <c r="AM68" s="2"/>
      <c r="AN68" s="2"/>
      <c r="AO68" s="2"/>
      <c r="AP68" s="2"/>
      <c r="AQ68" s="2"/>
      <c r="AR68" s="2"/>
      <c r="AS68" s="6" t="n">
        <f aca="false">IF(COUNTIF(AI68:AR68,"pass")+COUNTIF(AI68:AR68,"fail")=0,"",COUNTIF(AI68:AR68,"pass")/(COUNTIF(AI68:AR68,"pass")+COUNTIF(AI68:AR68,"fail")))</f>
        <v>0.5</v>
      </c>
      <c r="AT68" s="6" t="str">
        <f aca="false">IF(COUNTIF(Runs!$A$2:$A$61,A68)&gt;0,"yes","no, a void attempt")</f>
        <v>yes</v>
      </c>
    </row>
    <row r="69" customFormat="false" ht="15" hidden="false" customHeight="false" outlineLevel="0" collapsed="false">
      <c r="A69" s="9" t="s">
        <v>142</v>
      </c>
      <c r="B69" s="9" t="s">
        <v>135</v>
      </c>
      <c r="C69" s="9" t="s">
        <v>231</v>
      </c>
      <c r="D69" s="9" t="s">
        <v>232</v>
      </c>
      <c r="E69" s="9" t="s">
        <v>227</v>
      </c>
      <c r="F69" s="9" t="s">
        <v>227</v>
      </c>
      <c r="G69" s="9" t="s">
        <v>227</v>
      </c>
      <c r="H69" s="9" t="s">
        <v>227</v>
      </c>
      <c r="I69" s="9" t="s">
        <v>227</v>
      </c>
      <c r="J69" s="9" t="s">
        <v>227</v>
      </c>
      <c r="K69" s="9" t="s">
        <v>228</v>
      </c>
      <c r="L69" s="9" t="s">
        <v>227</v>
      </c>
      <c r="M69" s="9" t="s">
        <v>227</v>
      </c>
      <c r="N69" s="9" t="s">
        <v>227</v>
      </c>
      <c r="O69" s="9" t="s">
        <v>227</v>
      </c>
      <c r="P69" s="9" t="s">
        <v>227</v>
      </c>
      <c r="Q69" s="9" t="s">
        <v>227</v>
      </c>
      <c r="R69" s="9" t="s">
        <v>227</v>
      </c>
      <c r="S69" s="9" t="s">
        <v>227</v>
      </c>
      <c r="T69" s="2"/>
      <c r="U69" s="2"/>
      <c r="V69" s="2"/>
      <c r="W69" s="2"/>
      <c r="X69" s="2"/>
      <c r="Y69" s="2"/>
      <c r="Z69" s="2"/>
      <c r="AA69" s="2"/>
      <c r="AB69" s="2"/>
      <c r="AC69" s="2"/>
      <c r="AD69" s="2"/>
      <c r="AE69" s="2"/>
      <c r="AF69" s="6" t="n">
        <f aca="false">ROUND(100*SUMPRODUCT(($E69:$AD69="pass")*$E$39:$AD$39)/SUMPRODUCT((($E69:$AD69="pass")+($E69:$AD69="fail"))*$E$39:$AD$39),2)</f>
        <v>3.7</v>
      </c>
      <c r="AG69" s="6" t="n">
        <f aca="false">IF(OR(ISNUMBER(SEARCH("A8",C69)),AND(ISNUMBER(SEARCH("A0",C69)),ISNUMBER(SEARCH("ETARGET",D69)))),1,0)</f>
        <v>1</v>
      </c>
      <c r="AH69" s="2"/>
      <c r="AI69" s="9" t="s">
        <v>227</v>
      </c>
      <c r="AJ69" s="9" t="s">
        <v>228</v>
      </c>
      <c r="AK69" s="9" t="s">
        <v>228</v>
      </c>
      <c r="AL69" s="9" t="s">
        <v>228</v>
      </c>
      <c r="AM69" s="2"/>
      <c r="AN69" s="2"/>
      <c r="AO69" s="2"/>
      <c r="AP69" s="2"/>
      <c r="AQ69" s="2"/>
      <c r="AR69" s="2"/>
      <c r="AS69" s="6" t="n">
        <f aca="false">IF(COUNTIF(AI69:AR69,"pass")+COUNTIF(AI69:AR69,"fail")=0,"",COUNTIF(AI69:AR69,"pass")/(COUNTIF(AI69:AR69,"pass")+COUNTIF(AI69:AR69,"fail")))</f>
        <v>0.75</v>
      </c>
      <c r="AT69" s="6" t="str">
        <f aca="false">IF(COUNTIF(Runs!$A$2:$A$61,A69)&gt;0,"yes","no, a void attempt")</f>
        <v>yes</v>
      </c>
    </row>
    <row r="70" customFormat="false" ht="15" hidden="false" customHeight="false" outlineLevel="0" collapsed="false">
      <c r="A70" s="9" t="s">
        <v>170</v>
      </c>
      <c r="B70" s="9" t="s">
        <v>135</v>
      </c>
      <c r="C70" s="9"/>
      <c r="D70" s="9" t="s">
        <v>226</v>
      </c>
      <c r="E70" s="9" t="s">
        <v>228</v>
      </c>
      <c r="F70" s="9" t="s">
        <v>227</v>
      </c>
      <c r="G70" s="9" t="s">
        <v>228</v>
      </c>
      <c r="H70" s="9" t="s">
        <v>228</v>
      </c>
      <c r="I70" s="9" t="s">
        <v>228</v>
      </c>
      <c r="J70" s="9" t="s">
        <v>228</v>
      </c>
      <c r="K70" s="9" t="s">
        <v>228</v>
      </c>
      <c r="L70" s="9" t="s">
        <v>228</v>
      </c>
      <c r="M70" s="9" t="s">
        <v>228</v>
      </c>
      <c r="N70" s="9" t="s">
        <v>227</v>
      </c>
      <c r="O70" s="9" t="s">
        <v>228</v>
      </c>
      <c r="P70" s="9" t="s">
        <v>228</v>
      </c>
      <c r="Q70" s="9" t="s">
        <v>228</v>
      </c>
      <c r="R70" s="9" t="s">
        <v>228</v>
      </c>
      <c r="S70" s="9" t="s">
        <v>228</v>
      </c>
      <c r="T70" s="2"/>
      <c r="U70" s="2"/>
      <c r="V70" s="2"/>
      <c r="W70" s="2"/>
      <c r="X70" s="2"/>
      <c r="Y70" s="2"/>
      <c r="Z70" s="2"/>
      <c r="AA70" s="2"/>
      <c r="AB70" s="2"/>
      <c r="AC70" s="2"/>
      <c r="AD70" s="2"/>
      <c r="AE70" s="2"/>
      <c r="AF70" s="6" t="n">
        <f aca="false">ROUND(100*SUMPRODUCT(($E70:$AD70="pass")*$E$39:$AD$39)/SUMPRODUCT((($E70:$AD70="pass")+($E70:$AD70="fail"))*$E$39:$AD$39),2)</f>
        <v>77.78</v>
      </c>
      <c r="AG70" s="6" t="n">
        <f aca="false">IF(OR(ISNUMBER(SEARCH("A8",C70)),AND(ISNUMBER(SEARCH("A0",C70)),ISNUMBER(SEARCH("ETARGET",D70)))),1,0)</f>
        <v>0</v>
      </c>
      <c r="AH70" s="2"/>
      <c r="AI70" s="9" t="s">
        <v>228</v>
      </c>
      <c r="AJ70" s="9" t="s">
        <v>228</v>
      </c>
      <c r="AK70" s="9" t="s">
        <v>228</v>
      </c>
      <c r="AL70" s="9" t="s">
        <v>227</v>
      </c>
      <c r="AM70" s="2"/>
      <c r="AN70" s="2"/>
      <c r="AO70" s="2"/>
      <c r="AP70" s="2"/>
      <c r="AQ70" s="2"/>
      <c r="AR70" s="2"/>
      <c r="AS70" s="6" t="n">
        <f aca="false">IF(COUNTIF(AI70:AR70,"pass")+COUNTIF(AI70:AR70,"fail")=0,"",COUNTIF(AI70:AR70,"pass")/(COUNTIF(AI70:AR70,"pass")+COUNTIF(AI70:AR70,"fail")))</f>
        <v>0.75</v>
      </c>
      <c r="AT70" s="6" t="str">
        <f aca="false">IF(COUNTIF(Runs!$A$2:$A$61,A70)&gt;0,"yes","no, a void attempt")</f>
        <v>yes</v>
      </c>
    </row>
    <row r="71" customFormat="false" ht="15" hidden="false" customHeight="false" outlineLevel="0" collapsed="false">
      <c r="A71" s="9" t="s">
        <v>151</v>
      </c>
      <c r="B71" s="9" t="s">
        <v>135</v>
      </c>
      <c r="C71" s="9"/>
      <c r="D71" s="9" t="s">
        <v>226</v>
      </c>
      <c r="E71" s="9" t="s">
        <v>227</v>
      </c>
      <c r="F71" s="9" t="s">
        <v>227</v>
      </c>
      <c r="G71" s="9" t="s">
        <v>227</v>
      </c>
      <c r="H71" s="9" t="s">
        <v>227</v>
      </c>
      <c r="I71" s="9" t="s">
        <v>227</v>
      </c>
      <c r="J71" s="9" t="s">
        <v>227</v>
      </c>
      <c r="K71" s="9" t="s">
        <v>227</v>
      </c>
      <c r="L71" s="9" t="s">
        <v>227</v>
      </c>
      <c r="M71" s="9" t="s">
        <v>227</v>
      </c>
      <c r="N71" s="9" t="s">
        <v>227</v>
      </c>
      <c r="O71" s="9" t="s">
        <v>227</v>
      </c>
      <c r="P71" s="9" t="s">
        <v>227</v>
      </c>
      <c r="Q71" s="9" t="s">
        <v>227</v>
      </c>
      <c r="R71" s="9" t="s">
        <v>227</v>
      </c>
      <c r="S71" s="9" t="s">
        <v>227</v>
      </c>
      <c r="T71" s="2"/>
      <c r="U71" s="2"/>
      <c r="V71" s="2"/>
      <c r="W71" s="2"/>
      <c r="X71" s="2"/>
      <c r="Y71" s="2"/>
      <c r="Z71" s="2"/>
      <c r="AA71" s="2"/>
      <c r="AB71" s="2"/>
      <c r="AC71" s="2"/>
      <c r="AD71" s="2"/>
      <c r="AE71" s="2"/>
      <c r="AF71" s="6" t="n">
        <f aca="false">ROUND(100*SUMPRODUCT(($E71:$AD71="pass")*$E$39:$AD$39)/SUMPRODUCT((($E71:$AD71="pass")+($E71:$AD71="fail"))*$E$39:$AD$39),2)</f>
        <v>0</v>
      </c>
      <c r="AG71" s="6" t="n">
        <f aca="false">IF(OR(ISNUMBER(SEARCH("A8",C71)),AND(ISNUMBER(SEARCH("A0",C71)),ISNUMBER(SEARCH("ETARGET",D71)))),1,0)</f>
        <v>0</v>
      </c>
      <c r="AH71" s="2"/>
      <c r="AI71" s="9" t="s">
        <v>227</v>
      </c>
      <c r="AJ71" s="9" t="s">
        <v>228</v>
      </c>
      <c r="AK71" s="9" t="s">
        <v>228</v>
      </c>
      <c r="AL71" s="9" t="s">
        <v>228</v>
      </c>
      <c r="AM71" s="2"/>
      <c r="AN71" s="2"/>
      <c r="AO71" s="2"/>
      <c r="AP71" s="2"/>
      <c r="AQ71" s="2"/>
      <c r="AR71" s="2"/>
      <c r="AS71" s="6" t="n">
        <f aca="false">IF(COUNTIF(AI71:AR71,"pass")+COUNTIF(AI71:AR71,"fail")=0,"",COUNTIF(AI71:AR71,"pass")/(COUNTIF(AI71:AR71,"pass")+COUNTIF(AI71:AR71,"fail")))</f>
        <v>0.75</v>
      </c>
      <c r="AT71" s="6" t="str">
        <f aca="false">IF(COUNTIF(Runs!$A$2:$A$61,A71)&gt;0,"yes","no, a void attempt")</f>
        <v>yes</v>
      </c>
    </row>
    <row r="72" customFormat="false" ht="15" hidden="false" customHeight="false" outlineLevel="0" collapsed="false">
      <c r="A72" s="9" t="s">
        <v>252</v>
      </c>
      <c r="B72" s="9" t="s">
        <v>135</v>
      </c>
      <c r="C72" s="9"/>
      <c r="D72" s="9" t="s">
        <v>226</v>
      </c>
      <c r="E72" s="9" t="s">
        <v>228</v>
      </c>
      <c r="F72" s="9" t="s">
        <v>228</v>
      </c>
      <c r="G72" s="9" t="s">
        <v>228</v>
      </c>
      <c r="H72" s="9" t="s">
        <v>228</v>
      </c>
      <c r="I72" s="9" t="s">
        <v>228</v>
      </c>
      <c r="J72" s="9" t="s">
        <v>228</v>
      </c>
      <c r="K72" s="9" t="s">
        <v>228</v>
      </c>
      <c r="L72" s="9" t="s">
        <v>228</v>
      </c>
      <c r="M72" s="9" t="s">
        <v>227</v>
      </c>
      <c r="N72" s="9" t="s">
        <v>228</v>
      </c>
      <c r="O72" s="9" t="s">
        <v>228</v>
      </c>
      <c r="P72" s="9" t="s">
        <v>227</v>
      </c>
      <c r="Q72" s="9" t="s">
        <v>228</v>
      </c>
      <c r="R72" s="9" t="s">
        <v>228</v>
      </c>
      <c r="S72" s="9" t="s">
        <v>228</v>
      </c>
      <c r="T72" s="2"/>
      <c r="U72" s="2"/>
      <c r="V72" s="2"/>
      <c r="W72" s="2"/>
      <c r="X72" s="2"/>
      <c r="Y72" s="2"/>
      <c r="Z72" s="2"/>
      <c r="AA72" s="2"/>
      <c r="AB72" s="2"/>
      <c r="AC72" s="2"/>
      <c r="AD72" s="2"/>
      <c r="AE72" s="2"/>
      <c r="AF72" s="6" t="n">
        <f aca="false">ROUND(100*SUMPRODUCT(($E72:$AD72="pass")*$E$39:$AD$39)/SUMPRODUCT((($E72:$AD72="pass")+($E72:$AD72="fail"))*$E$39:$AD$39),2)</f>
        <v>88.89</v>
      </c>
      <c r="AG72" s="6" t="n">
        <f aca="false">IF(OR(ISNUMBER(SEARCH("A8",C72)),AND(ISNUMBER(SEARCH("A0",C72)),ISNUMBER(SEARCH("ETARGET",D72)))),1,0)</f>
        <v>0</v>
      </c>
      <c r="AH72" s="2"/>
      <c r="AI72" s="9" t="s">
        <v>227</v>
      </c>
      <c r="AJ72" s="9" t="s">
        <v>227</v>
      </c>
      <c r="AK72" s="9" t="s">
        <v>228</v>
      </c>
      <c r="AL72" s="9" t="s">
        <v>228</v>
      </c>
      <c r="AM72" s="2"/>
      <c r="AN72" s="2"/>
      <c r="AO72" s="2"/>
      <c r="AP72" s="2"/>
      <c r="AQ72" s="2"/>
      <c r="AR72" s="2"/>
      <c r="AS72" s="6" t="n">
        <f aca="false">IF(COUNTIF(AI72:AR72,"pass")+COUNTIF(AI72:AR72,"fail")=0,"",COUNTIF(AI72:AR72,"pass")/(COUNTIF(AI72:AR72,"pass")+COUNTIF(AI72:AR72,"fail")))</f>
        <v>0.5</v>
      </c>
      <c r="AT72" s="6" t="str">
        <f aca="false">IF(COUNTIF(Runs!$A$2:$A$61,A72)&gt;0,"yes","no, a void attempt")</f>
        <v>no, a void attempt</v>
      </c>
    </row>
    <row r="73" customFormat="false" ht="15" hidden="false" customHeight="false" outlineLevel="0" collapsed="false">
      <c r="A73" s="9" t="s">
        <v>179</v>
      </c>
      <c r="B73" s="9" t="s">
        <v>135</v>
      </c>
      <c r="C73" s="9"/>
      <c r="D73" s="9" t="s">
        <v>226</v>
      </c>
      <c r="E73" s="9" t="s">
        <v>228</v>
      </c>
      <c r="F73" s="9" t="s">
        <v>228</v>
      </c>
      <c r="G73" s="9" t="s">
        <v>228</v>
      </c>
      <c r="H73" s="9" t="s">
        <v>228</v>
      </c>
      <c r="I73" s="9" t="s">
        <v>228</v>
      </c>
      <c r="J73" s="9" t="s">
        <v>227</v>
      </c>
      <c r="K73" s="9" t="s">
        <v>228</v>
      </c>
      <c r="L73" s="9" t="s">
        <v>228</v>
      </c>
      <c r="M73" s="9" t="s">
        <v>228</v>
      </c>
      <c r="N73" s="9" t="s">
        <v>228</v>
      </c>
      <c r="O73" s="9" t="s">
        <v>228</v>
      </c>
      <c r="P73" s="9" t="s">
        <v>228</v>
      </c>
      <c r="Q73" s="9" t="s">
        <v>228</v>
      </c>
      <c r="R73" s="9" t="s">
        <v>228</v>
      </c>
      <c r="S73" s="9" t="s">
        <v>228</v>
      </c>
      <c r="T73" s="2"/>
      <c r="U73" s="2"/>
      <c r="V73" s="2"/>
      <c r="W73" s="2"/>
      <c r="X73" s="2"/>
      <c r="Y73" s="2"/>
      <c r="Z73" s="2"/>
      <c r="AA73" s="2"/>
      <c r="AB73" s="2"/>
      <c r="AC73" s="2"/>
      <c r="AD73" s="2"/>
      <c r="AE73" s="2"/>
      <c r="AF73" s="6" t="n">
        <f aca="false">ROUND(100*SUMPRODUCT(($E73:$AD73="pass")*$E$39:$AD$39)/SUMPRODUCT((($E73:$AD73="pass")+($E73:$AD73="fail"))*$E$39:$AD$39),2)</f>
        <v>92.59</v>
      </c>
      <c r="AG73" s="6" t="n">
        <f aca="false">IF(OR(ISNUMBER(SEARCH("A8",C73)),AND(ISNUMBER(SEARCH("A0",C73)),ISNUMBER(SEARCH("ETARGET",D73)))),1,0)</f>
        <v>0</v>
      </c>
      <c r="AH73" s="2"/>
      <c r="AI73" s="9" t="s">
        <v>227</v>
      </c>
      <c r="AJ73" s="9" t="s">
        <v>228</v>
      </c>
      <c r="AK73" s="9" t="s">
        <v>228</v>
      </c>
      <c r="AL73" s="9" t="s">
        <v>227</v>
      </c>
      <c r="AM73" s="2"/>
      <c r="AN73" s="2"/>
      <c r="AO73" s="2"/>
      <c r="AP73" s="2"/>
      <c r="AQ73" s="2"/>
      <c r="AR73" s="2"/>
      <c r="AS73" s="6" t="n">
        <f aca="false">IF(COUNTIF(AI73:AR73,"pass")+COUNTIF(AI73:AR73,"fail")=0,"",COUNTIF(AI73:AR73,"pass")/(COUNTIF(AI73:AR73,"pass")+COUNTIF(AI73:AR73,"fail")))</f>
        <v>0.5</v>
      </c>
      <c r="AT73" s="6" t="str">
        <f aca="false">IF(COUNTIF(Runs!$A$2:$A$61,A73)&gt;0,"yes","no, a void attempt")</f>
        <v>yes</v>
      </c>
    </row>
    <row r="74" customFormat="false" ht="15" hidden="false" customHeight="false" outlineLevel="0" collapsed="false">
      <c r="A74" s="9" t="s">
        <v>174</v>
      </c>
      <c r="B74" s="9" t="s">
        <v>135</v>
      </c>
      <c r="C74" s="9"/>
      <c r="D74" s="9" t="s">
        <v>226</v>
      </c>
      <c r="E74" s="9" t="s">
        <v>228</v>
      </c>
      <c r="F74" s="9" t="s">
        <v>228</v>
      </c>
      <c r="G74" s="9" t="s">
        <v>228</v>
      </c>
      <c r="H74" s="9" t="s">
        <v>228</v>
      </c>
      <c r="I74" s="9" t="s">
        <v>228</v>
      </c>
      <c r="J74" s="9" t="s">
        <v>228</v>
      </c>
      <c r="K74" s="9" t="s">
        <v>228</v>
      </c>
      <c r="L74" s="9" t="s">
        <v>228</v>
      </c>
      <c r="M74" s="9" t="s">
        <v>227</v>
      </c>
      <c r="N74" s="9" t="s">
        <v>228</v>
      </c>
      <c r="O74" s="9" t="s">
        <v>228</v>
      </c>
      <c r="P74" s="9" t="s">
        <v>228</v>
      </c>
      <c r="Q74" s="9" t="s">
        <v>228</v>
      </c>
      <c r="R74" s="9" t="s">
        <v>228</v>
      </c>
      <c r="S74" s="9" t="s">
        <v>228</v>
      </c>
      <c r="T74" s="2"/>
      <c r="U74" s="2"/>
      <c r="V74" s="2"/>
      <c r="W74" s="2"/>
      <c r="X74" s="2"/>
      <c r="Y74" s="2"/>
      <c r="Z74" s="2"/>
      <c r="AA74" s="2"/>
      <c r="AB74" s="2"/>
      <c r="AC74" s="2"/>
      <c r="AD74" s="2"/>
      <c r="AE74" s="2"/>
      <c r="AF74" s="6" t="n">
        <f aca="false">ROUND(100*SUMPRODUCT(($E74:$AD74="pass")*$E$39:$AD$39)/SUMPRODUCT((($E74:$AD74="pass")+($E74:$AD74="fail"))*$E$39:$AD$39),2)</f>
        <v>92.59</v>
      </c>
      <c r="AG74" s="6" t="n">
        <f aca="false">IF(OR(ISNUMBER(SEARCH("A8",C74)),AND(ISNUMBER(SEARCH("A0",C74)),ISNUMBER(SEARCH("ETARGET",D74)))),1,0)</f>
        <v>0</v>
      </c>
      <c r="AH74" s="2"/>
      <c r="AI74" s="9" t="s">
        <v>228</v>
      </c>
      <c r="AJ74" s="9" t="s">
        <v>228</v>
      </c>
      <c r="AK74" s="9" t="s">
        <v>227</v>
      </c>
      <c r="AL74" s="9" t="s">
        <v>228</v>
      </c>
      <c r="AM74" s="2"/>
      <c r="AN74" s="2"/>
      <c r="AO74" s="2"/>
      <c r="AP74" s="2"/>
      <c r="AQ74" s="2"/>
      <c r="AR74" s="2"/>
      <c r="AS74" s="6" t="n">
        <f aca="false">IF(COUNTIF(AI74:AR74,"pass")+COUNTIF(AI74:AR74,"fail")=0,"",COUNTIF(AI74:AR74,"pass")/(COUNTIF(AI74:AR74,"pass")+COUNTIF(AI74:AR74,"fail")))</f>
        <v>0.75</v>
      </c>
      <c r="AT74" s="6" t="str">
        <f aca="false">IF(COUNTIF(Runs!$A$2:$A$61,A74)&gt;0,"yes","no, a void attempt")</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11"/>
    <col collapsed="false" customWidth="true" hidden="false" outlineLevel="0" max="4" min="4" style="0" width="8"/>
    <col collapsed="false" customWidth="true" hidden="false" outlineLevel="0" max="5" min="5" style="0" width="9"/>
    <col collapsed="false" customWidth="true" hidden="false" outlineLevel="0" max="6" min="6" style="0" width="20"/>
    <col collapsed="false" customWidth="true" hidden="false" outlineLevel="0" max="8" min="7" style="0" width="9"/>
    <col collapsed="false" customWidth="true" hidden="false" outlineLevel="0" max="9" min="9" style="0" width="11"/>
    <col collapsed="false" customWidth="true" hidden="false" outlineLevel="0" max="10" min="10" style="0" width="18"/>
    <col collapsed="false" customWidth="true" hidden="false" outlineLevel="0" max="22" min="12" style="0" width="12"/>
  </cols>
  <sheetData>
    <row r="1" customFormat="false" ht="60" hidden="false" customHeight="true" outlineLevel="0" collapsed="false">
      <c r="A1" s="7" t="s">
        <v>52</v>
      </c>
      <c r="B1" s="7" t="s">
        <v>253</v>
      </c>
      <c r="C1" s="7" t="s">
        <v>53</v>
      </c>
      <c r="D1" s="7" t="s">
        <v>56</v>
      </c>
      <c r="E1" s="7" t="s">
        <v>254</v>
      </c>
      <c r="F1" s="7" t="s">
        <v>58</v>
      </c>
      <c r="G1" s="7" t="s">
        <v>255</v>
      </c>
      <c r="H1" s="7" t="s">
        <v>256</v>
      </c>
      <c r="I1" s="7" t="s">
        <v>257</v>
      </c>
      <c r="J1" s="7" t="s">
        <v>258</v>
      </c>
      <c r="K1" s="2"/>
      <c r="L1" s="3" t="s">
        <v>259</v>
      </c>
      <c r="M1" s="2"/>
      <c r="N1" s="2"/>
      <c r="O1" s="2"/>
      <c r="P1" s="2"/>
      <c r="Q1" s="2"/>
      <c r="R1" s="2"/>
      <c r="S1" s="2"/>
      <c r="T1" s="2"/>
      <c r="U1" s="2"/>
      <c r="V1" s="2"/>
    </row>
    <row r="2" customFormat="false" ht="60" hidden="false" customHeight="true" outlineLevel="0" collapsed="false">
      <c r="A2" s="9" t="s">
        <v>103</v>
      </c>
      <c r="B2" s="9" t="s">
        <v>260</v>
      </c>
      <c r="C2" s="9" t="s">
        <v>104</v>
      </c>
      <c r="D2" s="9" t="s">
        <v>107</v>
      </c>
      <c r="E2" s="9" t="n">
        <v>0</v>
      </c>
      <c r="F2" s="9" t="s">
        <v>108</v>
      </c>
      <c r="G2" s="6" t="n">
        <f aca="false">IF(OR(E2&lt;&gt;0,F2="api_error"),1,0)</f>
        <v>0</v>
      </c>
      <c r="H2" s="9" t="n">
        <v>1</v>
      </c>
      <c r="I2" s="6" t="n">
        <f aca="false">IF(COUNTIF(Runs!$A$2:$A$61,A2)&gt;0,1,0)</f>
        <v>1</v>
      </c>
      <c r="J2" s="6" t="str">
        <f aca="false">IF(AND(COUNTIFS($B$2:$B$65,B2,$I$2:$I$65,1)=1,NOT(AND(G2=1,I2=1))),"ok","CHECK")</f>
        <v>ok</v>
      </c>
      <c r="K2" s="2"/>
      <c r="L2" s="7" t="s">
        <v>53</v>
      </c>
      <c r="M2" s="7" t="s">
        <v>56</v>
      </c>
      <c r="N2" s="7" t="s">
        <v>261</v>
      </c>
      <c r="O2" s="7" t="s">
        <v>262</v>
      </c>
      <c r="P2" s="7" t="s">
        <v>263</v>
      </c>
      <c r="Q2" s="7" t="s">
        <v>264</v>
      </c>
      <c r="R2" s="7" t="s">
        <v>265</v>
      </c>
      <c r="S2" s="7" t="s">
        <v>266</v>
      </c>
      <c r="T2" s="7" t="s">
        <v>267</v>
      </c>
      <c r="U2" s="7" t="s">
        <v>268</v>
      </c>
      <c r="V2" s="7" t="s">
        <v>20</v>
      </c>
    </row>
    <row r="3" customFormat="false" ht="15" hidden="false" customHeight="false" outlineLevel="0" collapsed="false">
      <c r="A3" s="9" t="s">
        <v>109</v>
      </c>
      <c r="B3" s="9" t="s">
        <v>269</v>
      </c>
      <c r="C3" s="9" t="s">
        <v>104</v>
      </c>
      <c r="D3" s="9" t="s">
        <v>107</v>
      </c>
      <c r="E3" s="9" t="n">
        <v>0</v>
      </c>
      <c r="F3" s="9" t="s">
        <v>108</v>
      </c>
      <c r="G3" s="6" t="n">
        <f aca="false">IF(OR(E3&lt;&gt;0,F3="api_error"),1,0)</f>
        <v>0</v>
      </c>
      <c r="H3" s="9" t="n">
        <v>1</v>
      </c>
      <c r="I3" s="6" t="n">
        <f aca="false">IF(COUNTIF(Runs!$A$2:$A$61,A3)&gt;0,1,0)</f>
        <v>1</v>
      </c>
      <c r="J3" s="6" t="str">
        <f aca="false">IF(AND(COUNTIFS($B$2:$B$65,B3,$I$2:$I$65,1)=1,NOT(AND(G3=1,I3=1))),"ok","CHECK")</f>
        <v>ok</v>
      </c>
      <c r="K3" s="2"/>
      <c r="L3" s="9" t="s">
        <v>104</v>
      </c>
      <c r="M3" s="9" t="s">
        <v>107</v>
      </c>
      <c r="N3" s="6" t="n">
        <f aca="false">COUNTIFS($C$2:$C$65,L3,$D$2:$D$65,M3)</f>
        <v>12</v>
      </c>
      <c r="O3" s="6" t="n">
        <f aca="false">COUNTIFS($C$2:$C$65,L3,$D$2:$D$65,M3,$G$2:$G$65,1)</f>
        <v>0</v>
      </c>
      <c r="P3" s="6" t="n">
        <f aca="false">COUNTIFS(Runs!$B$2:$B$61,L3,Runs!$E$2:$E$61,M3)</f>
        <v>12</v>
      </c>
      <c r="Q3" s="6" t="n">
        <f aca="false">COUNTIFS($C$2:$C$65,L3,$D$2:$D$65,M3,$G$2:$G$65,1,$H$2:$H$65,1)</f>
        <v>0</v>
      </c>
      <c r="R3" s="9" t="n">
        <v>12</v>
      </c>
      <c r="S3" s="9" t="n">
        <v>0</v>
      </c>
      <c r="T3" s="9" t="n">
        <v>12</v>
      </c>
      <c r="U3" s="9" t="n">
        <v>0</v>
      </c>
      <c r="V3" s="6" t="str">
        <f aca="false">IF(AND(N3=R3,O3=S3,P3=T3,Q3=U3),"ok","CHECK")</f>
        <v>ok</v>
      </c>
    </row>
    <row r="4" customFormat="false" ht="15" hidden="false" customHeight="false" outlineLevel="0" collapsed="false">
      <c r="A4" s="9" t="s">
        <v>114</v>
      </c>
      <c r="B4" s="9" t="s">
        <v>270</v>
      </c>
      <c r="C4" s="9" t="s">
        <v>104</v>
      </c>
      <c r="D4" s="9" t="s">
        <v>115</v>
      </c>
      <c r="E4" s="9" t="n">
        <v>0</v>
      </c>
      <c r="F4" s="9" t="s">
        <v>108</v>
      </c>
      <c r="G4" s="6" t="n">
        <f aca="false">IF(OR(E4&lt;&gt;0,F4="api_error"),1,0)</f>
        <v>0</v>
      </c>
      <c r="H4" s="9" t="n">
        <v>1</v>
      </c>
      <c r="I4" s="6" t="n">
        <f aca="false">IF(COUNTIF(Runs!$A$2:$A$61,A4)&gt;0,1,0)</f>
        <v>1</v>
      </c>
      <c r="J4" s="6" t="str">
        <f aca="false">IF(AND(COUNTIFS($B$2:$B$65,B4,$I$2:$I$65,1)=1,NOT(AND(G4=1,I4=1))),"ok","CHECK")</f>
        <v>ok</v>
      </c>
      <c r="K4" s="2"/>
      <c r="L4" s="9" t="s">
        <v>104</v>
      </c>
      <c r="M4" s="9" t="s">
        <v>115</v>
      </c>
      <c r="N4" s="6" t="n">
        <f aca="false">COUNTIFS($C$2:$C$65,L4,$D$2:$D$65,M4)</f>
        <v>12</v>
      </c>
      <c r="O4" s="6" t="n">
        <f aca="false">COUNTIFS($C$2:$C$65,L4,$D$2:$D$65,M4,$G$2:$G$65,1)</f>
        <v>0</v>
      </c>
      <c r="P4" s="6" t="n">
        <f aca="false">COUNTIFS(Runs!$B$2:$B$61,L4,Runs!$E$2:$E$61,M4)</f>
        <v>12</v>
      </c>
      <c r="Q4" s="6" t="n">
        <f aca="false">COUNTIFS($C$2:$C$65,L4,$D$2:$D$65,M4,$G$2:$G$65,1,$H$2:$H$65,1)</f>
        <v>0</v>
      </c>
      <c r="R4" s="9" t="n">
        <v>12</v>
      </c>
      <c r="S4" s="9" t="n">
        <v>0</v>
      </c>
      <c r="T4" s="9" t="n">
        <v>12</v>
      </c>
      <c r="U4" s="9" t="n">
        <v>0</v>
      </c>
      <c r="V4" s="6" t="str">
        <f aca="false">IF(AND(N4=R4,O4=S4,P4=T4,Q4=U4),"ok","CHECK")</f>
        <v>ok</v>
      </c>
    </row>
    <row r="5" customFormat="false" ht="15" hidden="false" customHeight="false" outlineLevel="0" collapsed="false">
      <c r="A5" s="9" t="s">
        <v>116</v>
      </c>
      <c r="B5" s="9" t="s">
        <v>271</v>
      </c>
      <c r="C5" s="9" t="s">
        <v>104</v>
      </c>
      <c r="D5" s="9" t="s">
        <v>115</v>
      </c>
      <c r="E5" s="9" t="n">
        <v>0</v>
      </c>
      <c r="F5" s="9" t="s">
        <v>108</v>
      </c>
      <c r="G5" s="6" t="n">
        <f aca="false">IF(OR(E5&lt;&gt;0,F5="api_error"),1,0)</f>
        <v>0</v>
      </c>
      <c r="H5" s="9" t="n">
        <v>1</v>
      </c>
      <c r="I5" s="6" t="n">
        <f aca="false">IF(COUNTIF(Runs!$A$2:$A$61,A5)&gt;0,1,0)</f>
        <v>1</v>
      </c>
      <c r="J5" s="6" t="str">
        <f aca="false">IF(AND(COUNTIFS($B$2:$B$65,B5,$I$2:$I$65,1)=1,NOT(AND(G5=1,I5=1))),"ok","CHECK")</f>
        <v>ok</v>
      </c>
      <c r="K5" s="2"/>
      <c r="L5" s="9" t="s">
        <v>104</v>
      </c>
      <c r="M5" s="9" t="s">
        <v>111</v>
      </c>
      <c r="N5" s="6" t="n">
        <f aca="false">COUNTIFS($C$2:$C$65,L5,$D$2:$D$65,M5)</f>
        <v>14</v>
      </c>
      <c r="O5" s="6" t="n">
        <f aca="false">COUNTIFS($C$2:$C$65,L5,$D$2:$D$65,M5,$G$2:$G$65,1)</f>
        <v>2</v>
      </c>
      <c r="P5" s="6" t="n">
        <f aca="false">COUNTIFS(Runs!$B$2:$B$61,L5,Runs!$E$2:$E$61,M5)</f>
        <v>12</v>
      </c>
      <c r="Q5" s="6" t="n">
        <f aca="false">COUNTIFS($C$2:$C$65,L5,$D$2:$D$65,M5,$G$2:$G$65,1,$H$2:$H$65,1)</f>
        <v>2</v>
      </c>
      <c r="R5" s="9" t="n">
        <v>14</v>
      </c>
      <c r="S5" s="9" t="n">
        <v>2</v>
      </c>
      <c r="T5" s="9" t="n">
        <v>12</v>
      </c>
      <c r="U5" s="9" t="n">
        <v>2</v>
      </c>
      <c r="V5" s="6" t="str">
        <f aca="false">IF(AND(N5=R5,O5=S5,P5=T5,Q5=U5),"ok","CHECK")</f>
        <v>ok</v>
      </c>
    </row>
    <row r="6" customFormat="false" ht="15" hidden="false" customHeight="false" outlineLevel="0" collapsed="false">
      <c r="A6" s="9" t="s">
        <v>110</v>
      </c>
      <c r="B6" s="9" t="s">
        <v>272</v>
      </c>
      <c r="C6" s="9" t="s">
        <v>104</v>
      </c>
      <c r="D6" s="9" t="s">
        <v>111</v>
      </c>
      <c r="E6" s="9" t="n">
        <v>0</v>
      </c>
      <c r="F6" s="9" t="s">
        <v>108</v>
      </c>
      <c r="G6" s="6" t="n">
        <f aca="false">IF(OR(E6&lt;&gt;0,F6="api_error"),1,0)</f>
        <v>0</v>
      </c>
      <c r="H6" s="9" t="n">
        <v>1</v>
      </c>
      <c r="I6" s="6" t="n">
        <f aca="false">IF(COUNTIF(Runs!$A$2:$A$61,A6)&gt;0,1,0)</f>
        <v>1</v>
      </c>
      <c r="J6" s="6" t="str">
        <f aca="false">IF(AND(COUNTIFS($B$2:$B$65,B6,$I$2:$I$65,1)=1,NOT(AND(G6=1,I6=1))),"ok","CHECK")</f>
        <v>ok</v>
      </c>
      <c r="K6" s="2"/>
      <c r="L6" s="9" t="s">
        <v>156</v>
      </c>
      <c r="M6" s="9" t="s">
        <v>115</v>
      </c>
      <c r="N6" s="6" t="n">
        <f aca="false">COUNTIFS($C$2:$C$65,L6,$D$2:$D$65,M6)</f>
        <v>13</v>
      </c>
      <c r="O6" s="6" t="n">
        <f aca="false">COUNTIFS($C$2:$C$65,L6,$D$2:$D$65,M6,$G$2:$G$65,1)</f>
        <v>1</v>
      </c>
      <c r="P6" s="6" t="n">
        <f aca="false">COUNTIFS(Runs!$B$2:$B$61,L6,Runs!$E$2:$E$61,M6)</f>
        <v>12</v>
      </c>
      <c r="Q6" s="6" t="n">
        <f aca="false">COUNTIFS($C$2:$C$65,L6,$D$2:$D$65,M6,$G$2:$G$65,1,$H$2:$H$65,1)</f>
        <v>1</v>
      </c>
      <c r="R6" s="9" t="n">
        <v>13</v>
      </c>
      <c r="S6" s="9" t="n">
        <v>1</v>
      </c>
      <c r="T6" s="9" t="n">
        <v>12</v>
      </c>
      <c r="U6" s="9" t="n">
        <v>1</v>
      </c>
      <c r="V6" s="6" t="str">
        <f aca="false">IF(AND(N6=R6,O6=S6,P6=T6,Q6=U6),"ok","CHECK")</f>
        <v>ok</v>
      </c>
    </row>
    <row r="7" customFormat="false" ht="15" hidden="false" customHeight="false" outlineLevel="0" collapsed="false">
      <c r="A7" s="9" t="s">
        <v>112</v>
      </c>
      <c r="B7" s="9" t="s">
        <v>273</v>
      </c>
      <c r="C7" s="9" t="s">
        <v>104</v>
      </c>
      <c r="D7" s="9" t="s">
        <v>111</v>
      </c>
      <c r="E7" s="9" t="n">
        <v>0</v>
      </c>
      <c r="F7" s="9" t="s">
        <v>113</v>
      </c>
      <c r="G7" s="6" t="n">
        <f aca="false">IF(OR(E7&lt;&gt;0,F7="api_error"),1,0)</f>
        <v>0</v>
      </c>
      <c r="H7" s="9" t="n">
        <v>1</v>
      </c>
      <c r="I7" s="6" t="n">
        <f aca="false">IF(COUNTIF(Runs!$A$2:$A$61,A7)&gt;0,1,0)</f>
        <v>1</v>
      </c>
      <c r="J7" s="6" t="str">
        <f aca="false">IF(AND(COUNTIFS($B$2:$B$65,B7,$I$2:$I$65,1)=1,NOT(AND(G7=1,I7=1))),"ok","CHECK")</f>
        <v>ok</v>
      </c>
      <c r="K7" s="2"/>
      <c r="L7" s="9" t="s">
        <v>156</v>
      </c>
      <c r="M7" s="9" t="s">
        <v>111</v>
      </c>
      <c r="N7" s="6" t="n">
        <f aca="false">COUNTIFS($C$2:$C$65,L7,$D$2:$D$65,M7)</f>
        <v>13</v>
      </c>
      <c r="O7" s="6" t="n">
        <f aca="false">COUNTIFS($C$2:$C$65,L7,$D$2:$D$65,M7,$G$2:$G$65,1)</f>
        <v>1</v>
      </c>
      <c r="P7" s="6" t="n">
        <f aca="false">COUNTIFS(Runs!$B$2:$B$61,L7,Runs!$E$2:$E$61,M7)</f>
        <v>12</v>
      </c>
      <c r="Q7" s="6" t="n">
        <f aca="false">COUNTIFS($C$2:$C$65,L7,$D$2:$D$65,M7,$G$2:$G$65,1,$H$2:$H$65,1)</f>
        <v>1</v>
      </c>
      <c r="R7" s="9" t="n">
        <v>13</v>
      </c>
      <c r="S7" s="9" t="n">
        <v>1</v>
      </c>
      <c r="T7" s="9" t="n">
        <v>12</v>
      </c>
      <c r="U7" s="9" t="n">
        <v>1</v>
      </c>
      <c r="V7" s="6" t="str">
        <f aca="false">IF(AND(N7=R7,O7=S7,P7=T7,Q7=U7),"ok","CHECK")</f>
        <v>ok</v>
      </c>
    </row>
    <row r="8" customFormat="false" ht="15" hidden="false" customHeight="false" outlineLevel="0" collapsed="false">
      <c r="A8" s="9" t="s">
        <v>117</v>
      </c>
      <c r="B8" s="9" t="s">
        <v>274</v>
      </c>
      <c r="C8" s="9" t="s">
        <v>104</v>
      </c>
      <c r="D8" s="9" t="s">
        <v>107</v>
      </c>
      <c r="E8" s="9" t="n">
        <v>0</v>
      </c>
      <c r="F8" s="9" t="s">
        <v>108</v>
      </c>
      <c r="G8" s="6" t="n">
        <f aca="false">IF(OR(E8&lt;&gt;0,F8="api_error"),1,0)</f>
        <v>0</v>
      </c>
      <c r="H8" s="9" t="n">
        <v>1</v>
      </c>
      <c r="I8" s="6" t="n">
        <f aca="false">IF(COUNTIF(Runs!$A$2:$A$61,A8)&gt;0,1,0)</f>
        <v>1</v>
      </c>
      <c r="J8" s="6" t="str">
        <f aca="false">IF(AND(COUNTIFS($B$2:$B$65,B8,$I$2:$I$65,1)=1,NOT(AND(G8=1,I8=1))),"ok","CHECK")</f>
        <v>ok</v>
      </c>
      <c r="K8" s="2"/>
      <c r="L8" s="2"/>
      <c r="M8" s="2"/>
      <c r="N8" s="2"/>
      <c r="O8" s="2"/>
      <c r="P8" s="2"/>
      <c r="Q8" s="2"/>
      <c r="R8" s="2"/>
      <c r="S8" s="2"/>
      <c r="T8" s="2"/>
      <c r="U8" s="2"/>
      <c r="V8" s="2"/>
    </row>
    <row r="9" customFormat="false" ht="15" hidden="false" customHeight="false" outlineLevel="0" collapsed="false">
      <c r="A9" s="9" t="s">
        <v>119</v>
      </c>
      <c r="B9" s="9" t="s">
        <v>275</v>
      </c>
      <c r="C9" s="9" t="s">
        <v>104</v>
      </c>
      <c r="D9" s="9" t="s">
        <v>107</v>
      </c>
      <c r="E9" s="9" t="n">
        <v>0</v>
      </c>
      <c r="F9" s="9" t="s">
        <v>108</v>
      </c>
      <c r="G9" s="6" t="n">
        <f aca="false">IF(OR(E9&lt;&gt;0,F9="api_error"),1,0)</f>
        <v>0</v>
      </c>
      <c r="H9" s="9" t="n">
        <v>1</v>
      </c>
      <c r="I9" s="6" t="n">
        <f aca="false">IF(COUNTIF(Runs!$A$2:$A$61,A9)&gt;0,1,0)</f>
        <v>1</v>
      </c>
      <c r="J9" s="6" t="str">
        <f aca="false">IF(AND(COUNTIFS($B$2:$B$65,B9,$I$2:$I$65,1)=1,NOT(AND(G9=1,I9=1))),"ok","CHECK")</f>
        <v>ok</v>
      </c>
      <c r="K9" s="2"/>
      <c r="L9" s="2"/>
      <c r="M9" s="2"/>
      <c r="N9" s="2"/>
      <c r="O9" s="2"/>
      <c r="P9" s="2"/>
      <c r="Q9" s="2"/>
      <c r="R9" s="2"/>
      <c r="S9" s="2"/>
      <c r="T9" s="2"/>
      <c r="U9" s="2"/>
      <c r="V9" s="2"/>
    </row>
    <row r="10" customFormat="false" ht="15" hidden="false" customHeight="false" outlineLevel="0" collapsed="false">
      <c r="A10" s="9" t="s">
        <v>123</v>
      </c>
      <c r="B10" s="9" t="s">
        <v>276</v>
      </c>
      <c r="C10" s="9" t="s">
        <v>104</v>
      </c>
      <c r="D10" s="9" t="s">
        <v>115</v>
      </c>
      <c r="E10" s="9" t="n">
        <v>0</v>
      </c>
      <c r="F10" s="9" t="s">
        <v>108</v>
      </c>
      <c r="G10" s="6" t="n">
        <f aca="false">IF(OR(E10&lt;&gt;0,F10="api_error"),1,0)</f>
        <v>0</v>
      </c>
      <c r="H10" s="9" t="n">
        <v>1</v>
      </c>
      <c r="I10" s="6" t="n">
        <f aca="false">IF(COUNTIF(Runs!$A$2:$A$61,A10)&gt;0,1,0)</f>
        <v>1</v>
      </c>
      <c r="J10" s="6" t="str">
        <f aca="false">IF(AND(COUNTIFS($B$2:$B$65,B10,$I$2:$I$65,1)=1,NOT(AND(G10=1,I10=1))),"ok","CHECK")</f>
        <v>ok</v>
      </c>
      <c r="K10" s="2"/>
      <c r="L10" s="2"/>
      <c r="M10" s="2"/>
      <c r="N10" s="2"/>
      <c r="O10" s="2"/>
      <c r="P10" s="2"/>
      <c r="Q10" s="2"/>
      <c r="R10" s="2"/>
      <c r="S10" s="2"/>
      <c r="T10" s="2"/>
      <c r="U10" s="2"/>
      <c r="V10" s="2"/>
    </row>
    <row r="11" customFormat="false" ht="15" hidden="false" customHeight="false" outlineLevel="0" collapsed="false">
      <c r="A11" s="9" t="s">
        <v>124</v>
      </c>
      <c r="B11" s="9" t="s">
        <v>277</v>
      </c>
      <c r="C11" s="9" t="s">
        <v>104</v>
      </c>
      <c r="D11" s="9" t="s">
        <v>115</v>
      </c>
      <c r="E11" s="9" t="n">
        <v>0</v>
      </c>
      <c r="F11" s="9" t="s">
        <v>108</v>
      </c>
      <c r="G11" s="6" t="n">
        <f aca="false">IF(OR(E11&lt;&gt;0,F11="api_error"),1,0)</f>
        <v>0</v>
      </c>
      <c r="H11" s="9" t="n">
        <v>1</v>
      </c>
      <c r="I11" s="6" t="n">
        <f aca="false">IF(COUNTIF(Runs!$A$2:$A$61,A11)&gt;0,1,0)</f>
        <v>1</v>
      </c>
      <c r="J11" s="6" t="str">
        <f aca="false">IF(AND(COUNTIFS($B$2:$B$65,B11,$I$2:$I$65,1)=1,NOT(AND(G11=1,I11=1))),"ok","CHECK")</f>
        <v>ok</v>
      </c>
      <c r="K11" s="2"/>
      <c r="L11" s="2"/>
      <c r="M11" s="2"/>
      <c r="N11" s="2"/>
      <c r="O11" s="2"/>
      <c r="P11" s="2"/>
      <c r="Q11" s="2"/>
      <c r="R11" s="2"/>
      <c r="S11" s="2"/>
      <c r="T11" s="2"/>
      <c r="U11" s="2"/>
      <c r="V11" s="2"/>
    </row>
    <row r="12" customFormat="false" ht="15" hidden="false" customHeight="false" outlineLevel="0" collapsed="false">
      <c r="A12" s="9" t="s">
        <v>120</v>
      </c>
      <c r="B12" s="9" t="s">
        <v>278</v>
      </c>
      <c r="C12" s="9" t="s">
        <v>104</v>
      </c>
      <c r="D12" s="9" t="s">
        <v>111</v>
      </c>
      <c r="E12" s="9" t="n">
        <v>0</v>
      </c>
      <c r="F12" s="9" t="s">
        <v>121</v>
      </c>
      <c r="G12" s="6" t="n">
        <f aca="false">IF(OR(E12&lt;&gt;0,F12="api_error"),1,0)</f>
        <v>0</v>
      </c>
      <c r="H12" s="9" t="n">
        <v>1</v>
      </c>
      <c r="I12" s="6" t="n">
        <f aca="false">IF(COUNTIF(Runs!$A$2:$A$61,A12)&gt;0,1,0)</f>
        <v>1</v>
      </c>
      <c r="J12" s="6" t="str">
        <f aca="false">IF(AND(COUNTIFS($B$2:$B$65,B12,$I$2:$I$65,1)=1,NOT(AND(G12=1,I12=1))),"ok","CHECK")</f>
        <v>ok</v>
      </c>
      <c r="K12" s="2"/>
      <c r="L12" s="2"/>
      <c r="M12" s="2"/>
      <c r="N12" s="2"/>
      <c r="O12" s="2"/>
      <c r="P12" s="2"/>
      <c r="Q12" s="2"/>
      <c r="R12" s="2"/>
      <c r="S12" s="2"/>
      <c r="T12" s="2"/>
      <c r="U12" s="2"/>
      <c r="V12" s="2"/>
    </row>
    <row r="13" customFormat="false" ht="15" hidden="false" customHeight="false" outlineLevel="0" collapsed="false">
      <c r="A13" s="9" t="s">
        <v>122</v>
      </c>
      <c r="B13" s="9" t="s">
        <v>279</v>
      </c>
      <c r="C13" s="9" t="s">
        <v>104</v>
      </c>
      <c r="D13" s="9" t="s">
        <v>111</v>
      </c>
      <c r="E13" s="9" t="n">
        <v>0</v>
      </c>
      <c r="F13" s="9" t="s">
        <v>108</v>
      </c>
      <c r="G13" s="6" t="n">
        <f aca="false">IF(OR(E13&lt;&gt;0,F13="api_error"),1,0)</f>
        <v>0</v>
      </c>
      <c r="H13" s="9" t="n">
        <v>1</v>
      </c>
      <c r="I13" s="6" t="n">
        <f aca="false">IF(COUNTIF(Runs!$A$2:$A$61,A13)&gt;0,1,0)</f>
        <v>1</v>
      </c>
      <c r="J13" s="6" t="str">
        <f aca="false">IF(AND(COUNTIFS($B$2:$B$65,B13,$I$2:$I$65,1)=1,NOT(AND(G13=1,I13=1))),"ok","CHECK")</f>
        <v>ok</v>
      </c>
      <c r="K13" s="2"/>
      <c r="L13" s="2"/>
      <c r="M13" s="2"/>
      <c r="N13" s="2"/>
      <c r="O13" s="2"/>
      <c r="P13" s="2"/>
      <c r="Q13" s="2"/>
      <c r="R13" s="2"/>
      <c r="S13" s="2"/>
      <c r="T13" s="2"/>
      <c r="U13" s="2"/>
      <c r="V13" s="2"/>
    </row>
    <row r="14" customFormat="false" ht="15" hidden="false" customHeight="false" outlineLevel="0" collapsed="false">
      <c r="A14" s="9" t="s">
        <v>125</v>
      </c>
      <c r="B14" s="9" t="s">
        <v>280</v>
      </c>
      <c r="C14" s="9" t="s">
        <v>104</v>
      </c>
      <c r="D14" s="9" t="s">
        <v>107</v>
      </c>
      <c r="E14" s="9" t="n">
        <v>0</v>
      </c>
      <c r="F14" s="9" t="s">
        <v>108</v>
      </c>
      <c r="G14" s="6" t="n">
        <f aca="false">IF(OR(E14&lt;&gt;0,F14="api_error"),1,0)</f>
        <v>0</v>
      </c>
      <c r="H14" s="9" t="n">
        <v>1</v>
      </c>
      <c r="I14" s="6" t="n">
        <f aca="false">IF(COUNTIF(Runs!$A$2:$A$61,A14)&gt;0,1,0)</f>
        <v>1</v>
      </c>
      <c r="J14" s="6" t="str">
        <f aca="false">IF(AND(COUNTIFS($B$2:$B$65,B14,$I$2:$I$65,1)=1,NOT(AND(G14=1,I14=1))),"ok","CHECK")</f>
        <v>ok</v>
      </c>
      <c r="K14" s="2"/>
      <c r="L14" s="2"/>
      <c r="M14" s="2"/>
      <c r="N14" s="2"/>
      <c r="O14" s="2"/>
      <c r="P14" s="2"/>
      <c r="Q14" s="2"/>
      <c r="R14" s="2"/>
      <c r="S14" s="2"/>
      <c r="T14" s="2"/>
      <c r="U14" s="2"/>
      <c r="V14" s="2"/>
    </row>
    <row r="15" customFormat="false" ht="15" hidden="false" customHeight="false" outlineLevel="0" collapsed="false">
      <c r="A15" s="9" t="s">
        <v>127</v>
      </c>
      <c r="B15" s="9" t="s">
        <v>281</v>
      </c>
      <c r="C15" s="9" t="s">
        <v>104</v>
      </c>
      <c r="D15" s="9" t="s">
        <v>107</v>
      </c>
      <c r="E15" s="9" t="n">
        <v>0</v>
      </c>
      <c r="F15" s="9" t="s">
        <v>113</v>
      </c>
      <c r="G15" s="6" t="n">
        <f aca="false">IF(OR(E15&lt;&gt;0,F15="api_error"),1,0)</f>
        <v>0</v>
      </c>
      <c r="H15" s="9" t="n">
        <v>1</v>
      </c>
      <c r="I15" s="6" t="n">
        <f aca="false">IF(COUNTIF(Runs!$A$2:$A$61,A15)&gt;0,1,0)</f>
        <v>1</v>
      </c>
      <c r="J15" s="6" t="str">
        <f aca="false">IF(AND(COUNTIFS($B$2:$B$65,B15,$I$2:$I$65,1)=1,NOT(AND(G15=1,I15=1))),"ok","CHECK")</f>
        <v>ok</v>
      </c>
      <c r="K15" s="2"/>
      <c r="L15" s="2"/>
      <c r="M15" s="2"/>
      <c r="N15" s="2"/>
      <c r="O15" s="2"/>
      <c r="P15" s="2"/>
      <c r="Q15" s="2"/>
      <c r="R15" s="2"/>
      <c r="S15" s="2"/>
      <c r="T15" s="2"/>
      <c r="U15" s="2"/>
      <c r="V15" s="2"/>
    </row>
    <row r="16" customFormat="false" ht="15" hidden="false" customHeight="false" outlineLevel="0" collapsed="false">
      <c r="A16" s="9" t="s">
        <v>132</v>
      </c>
      <c r="B16" s="9" t="s">
        <v>282</v>
      </c>
      <c r="C16" s="9" t="s">
        <v>104</v>
      </c>
      <c r="D16" s="9" t="s">
        <v>115</v>
      </c>
      <c r="E16" s="9" t="n">
        <v>0</v>
      </c>
      <c r="F16" s="9" t="s">
        <v>121</v>
      </c>
      <c r="G16" s="6" t="n">
        <f aca="false">IF(OR(E16&lt;&gt;0,F16="api_error"),1,0)</f>
        <v>0</v>
      </c>
      <c r="H16" s="9" t="n">
        <v>1</v>
      </c>
      <c r="I16" s="6" t="n">
        <f aca="false">IF(COUNTIF(Runs!$A$2:$A$61,A16)&gt;0,1,0)</f>
        <v>1</v>
      </c>
      <c r="J16" s="6" t="str">
        <f aca="false">IF(AND(COUNTIFS($B$2:$B$65,B16,$I$2:$I$65,1)=1,NOT(AND(G16=1,I16=1))),"ok","CHECK")</f>
        <v>ok</v>
      </c>
      <c r="K16" s="2"/>
      <c r="L16" s="2"/>
      <c r="M16" s="2"/>
      <c r="N16" s="2"/>
      <c r="O16" s="2"/>
      <c r="P16" s="2"/>
      <c r="Q16" s="2"/>
      <c r="R16" s="2"/>
      <c r="S16" s="2"/>
      <c r="T16" s="2"/>
      <c r="U16" s="2"/>
      <c r="V16" s="2"/>
    </row>
    <row r="17" customFormat="false" ht="15" hidden="false" customHeight="false" outlineLevel="0" collapsed="false">
      <c r="A17" s="9" t="s">
        <v>133</v>
      </c>
      <c r="B17" s="9" t="s">
        <v>283</v>
      </c>
      <c r="C17" s="9" t="s">
        <v>104</v>
      </c>
      <c r="D17" s="9" t="s">
        <v>115</v>
      </c>
      <c r="E17" s="9" t="n">
        <v>0</v>
      </c>
      <c r="F17" s="9" t="s">
        <v>108</v>
      </c>
      <c r="G17" s="6" t="n">
        <f aca="false">IF(OR(E17&lt;&gt;0,F17="api_error"),1,0)</f>
        <v>0</v>
      </c>
      <c r="H17" s="9" t="n">
        <v>1</v>
      </c>
      <c r="I17" s="6" t="n">
        <f aca="false">IF(COUNTIF(Runs!$A$2:$A$61,A17)&gt;0,1,0)</f>
        <v>1</v>
      </c>
      <c r="J17" s="6" t="str">
        <f aca="false">IF(AND(COUNTIFS($B$2:$B$65,B17,$I$2:$I$65,1)=1,NOT(AND(G17=1,I17=1))),"ok","CHECK")</f>
        <v>ok</v>
      </c>
      <c r="K17" s="2"/>
      <c r="L17" s="2"/>
      <c r="M17" s="2"/>
      <c r="N17" s="2"/>
      <c r="O17" s="2"/>
      <c r="P17" s="2"/>
      <c r="Q17" s="2"/>
      <c r="R17" s="2"/>
      <c r="S17" s="2"/>
      <c r="T17" s="2"/>
      <c r="U17" s="2"/>
      <c r="V17" s="2"/>
    </row>
    <row r="18" customFormat="false" ht="15" hidden="false" customHeight="false" outlineLevel="0" collapsed="false">
      <c r="A18" s="9" t="s">
        <v>128</v>
      </c>
      <c r="B18" s="9" t="s">
        <v>284</v>
      </c>
      <c r="C18" s="9" t="s">
        <v>104</v>
      </c>
      <c r="D18" s="9" t="s">
        <v>111</v>
      </c>
      <c r="E18" s="9" t="n">
        <v>0</v>
      </c>
      <c r="F18" s="9" t="s">
        <v>129</v>
      </c>
      <c r="G18" s="6" t="n">
        <f aca="false">IF(OR(E18&lt;&gt;0,F18="api_error"),1,0)</f>
        <v>0</v>
      </c>
      <c r="H18" s="9" t="n">
        <v>1</v>
      </c>
      <c r="I18" s="6" t="n">
        <f aca="false">IF(COUNTIF(Runs!$A$2:$A$61,A18)&gt;0,1,0)</f>
        <v>1</v>
      </c>
      <c r="J18" s="6" t="str">
        <f aca="false">IF(AND(COUNTIFS($B$2:$B$65,B18,$I$2:$I$65,1)=1,NOT(AND(G18=1,I18=1))),"ok","CHECK")</f>
        <v>ok</v>
      </c>
      <c r="K18" s="2"/>
      <c r="L18" s="2"/>
      <c r="M18" s="2"/>
      <c r="N18" s="2"/>
      <c r="O18" s="2"/>
      <c r="P18" s="2"/>
      <c r="Q18" s="2"/>
      <c r="R18" s="2"/>
      <c r="S18" s="2"/>
      <c r="T18" s="2"/>
      <c r="U18" s="2"/>
      <c r="V18" s="2"/>
    </row>
    <row r="19" customFormat="false" ht="15" hidden="false" customHeight="false" outlineLevel="0" collapsed="false">
      <c r="A19" s="9" t="s">
        <v>130</v>
      </c>
      <c r="B19" s="9" t="s">
        <v>285</v>
      </c>
      <c r="C19" s="9" t="s">
        <v>104</v>
      </c>
      <c r="D19" s="9" t="s">
        <v>111</v>
      </c>
      <c r="E19" s="9" t="n">
        <v>0</v>
      </c>
      <c r="F19" s="9" t="s">
        <v>131</v>
      </c>
      <c r="G19" s="6" t="n">
        <f aca="false">IF(OR(E19&lt;&gt;0,F19="api_error"),1,0)</f>
        <v>0</v>
      </c>
      <c r="H19" s="9" t="n">
        <v>1</v>
      </c>
      <c r="I19" s="6" t="n">
        <f aca="false">IF(COUNTIF(Runs!$A$2:$A$61,A19)&gt;0,1,0)</f>
        <v>1</v>
      </c>
      <c r="J19" s="6" t="str">
        <f aca="false">IF(AND(COUNTIFS($B$2:$B$65,B19,$I$2:$I$65,1)=1,NOT(AND(G19=1,I19=1))),"ok","CHECK")</f>
        <v>ok</v>
      </c>
      <c r="K19" s="2"/>
      <c r="L19" s="2"/>
      <c r="M19" s="2"/>
      <c r="N19" s="2"/>
      <c r="O19" s="2"/>
      <c r="P19" s="2"/>
      <c r="Q19" s="2"/>
      <c r="R19" s="2"/>
      <c r="S19" s="2"/>
      <c r="T19" s="2"/>
      <c r="U19" s="2"/>
      <c r="V19" s="2"/>
    </row>
    <row r="20" customFormat="false" ht="15" hidden="false" customHeight="false" outlineLevel="0" collapsed="false">
      <c r="A20" s="9" t="s">
        <v>134</v>
      </c>
      <c r="B20" s="9" t="s">
        <v>286</v>
      </c>
      <c r="C20" s="9" t="s">
        <v>104</v>
      </c>
      <c r="D20" s="9" t="s">
        <v>107</v>
      </c>
      <c r="E20" s="9" t="n">
        <v>0</v>
      </c>
      <c r="F20" s="9" t="s">
        <v>108</v>
      </c>
      <c r="G20" s="6" t="n">
        <f aca="false">IF(OR(E20&lt;&gt;0,F20="api_error"),1,0)</f>
        <v>0</v>
      </c>
      <c r="H20" s="9" t="n">
        <v>1</v>
      </c>
      <c r="I20" s="6" t="n">
        <f aca="false">IF(COUNTIF(Runs!$A$2:$A$61,A20)&gt;0,1,0)</f>
        <v>1</v>
      </c>
      <c r="J20" s="6" t="str">
        <f aca="false">IF(AND(COUNTIFS($B$2:$B$65,B20,$I$2:$I$65,1)=1,NOT(AND(G20=1,I20=1))),"ok","CHECK")</f>
        <v>ok</v>
      </c>
      <c r="K20" s="2"/>
      <c r="L20" s="2"/>
      <c r="M20" s="2"/>
      <c r="N20" s="2"/>
      <c r="O20" s="2"/>
      <c r="P20" s="2"/>
      <c r="Q20" s="2"/>
      <c r="R20" s="2"/>
      <c r="S20" s="2"/>
      <c r="T20" s="2"/>
      <c r="U20" s="2"/>
      <c r="V20" s="2"/>
    </row>
    <row r="21" customFormat="false" ht="15" hidden="false" customHeight="false" outlineLevel="0" collapsed="false">
      <c r="A21" s="9" t="s">
        <v>136</v>
      </c>
      <c r="B21" s="9" t="s">
        <v>287</v>
      </c>
      <c r="C21" s="9" t="s">
        <v>104</v>
      </c>
      <c r="D21" s="9" t="s">
        <v>107</v>
      </c>
      <c r="E21" s="9" t="n">
        <v>0</v>
      </c>
      <c r="F21" s="9" t="s">
        <v>108</v>
      </c>
      <c r="G21" s="6" t="n">
        <f aca="false">IF(OR(E21&lt;&gt;0,F21="api_error"),1,0)</f>
        <v>0</v>
      </c>
      <c r="H21" s="9" t="n">
        <v>1</v>
      </c>
      <c r="I21" s="6" t="n">
        <f aca="false">IF(COUNTIF(Runs!$A$2:$A$61,A21)&gt;0,1,0)</f>
        <v>1</v>
      </c>
      <c r="J21" s="6" t="str">
        <f aca="false">IF(AND(COUNTIFS($B$2:$B$65,B21,$I$2:$I$65,1)=1,NOT(AND(G21=1,I21=1))),"ok","CHECK")</f>
        <v>ok</v>
      </c>
      <c r="K21" s="2"/>
      <c r="L21" s="2"/>
      <c r="M21" s="2"/>
      <c r="N21" s="2"/>
      <c r="O21" s="2"/>
      <c r="P21" s="2"/>
      <c r="Q21" s="2"/>
      <c r="R21" s="2"/>
      <c r="S21" s="2"/>
      <c r="T21" s="2"/>
      <c r="U21" s="2"/>
      <c r="V21" s="2"/>
    </row>
    <row r="22" customFormat="false" ht="15" hidden="false" customHeight="false" outlineLevel="0" collapsed="false">
      <c r="A22" s="9" t="s">
        <v>139</v>
      </c>
      <c r="B22" s="9" t="s">
        <v>288</v>
      </c>
      <c r="C22" s="9" t="s">
        <v>104</v>
      </c>
      <c r="D22" s="9" t="s">
        <v>115</v>
      </c>
      <c r="E22" s="9" t="n">
        <v>0</v>
      </c>
      <c r="F22" s="9" t="s">
        <v>121</v>
      </c>
      <c r="G22" s="6" t="n">
        <f aca="false">IF(OR(E22&lt;&gt;0,F22="api_error"),1,0)</f>
        <v>0</v>
      </c>
      <c r="H22" s="9" t="n">
        <v>1</v>
      </c>
      <c r="I22" s="6" t="n">
        <f aca="false">IF(COUNTIF(Runs!$A$2:$A$61,A22)&gt;0,1,0)</f>
        <v>1</v>
      </c>
      <c r="J22" s="6" t="str">
        <f aca="false">IF(AND(COUNTIFS($B$2:$B$65,B22,$I$2:$I$65,1)=1,NOT(AND(G22=1,I22=1))),"ok","CHECK")</f>
        <v>ok</v>
      </c>
      <c r="K22" s="2"/>
      <c r="L22" s="2"/>
      <c r="M22" s="2"/>
      <c r="N22" s="2"/>
      <c r="O22" s="2"/>
      <c r="P22" s="2"/>
      <c r="Q22" s="2"/>
      <c r="R22" s="2"/>
      <c r="S22" s="2"/>
      <c r="T22" s="2"/>
      <c r="U22" s="2"/>
      <c r="V22" s="2"/>
    </row>
    <row r="23" customFormat="false" ht="15" hidden="false" customHeight="false" outlineLevel="0" collapsed="false">
      <c r="A23" s="9" t="s">
        <v>140</v>
      </c>
      <c r="B23" s="9" t="s">
        <v>289</v>
      </c>
      <c r="C23" s="9" t="s">
        <v>104</v>
      </c>
      <c r="D23" s="9" t="s">
        <v>115</v>
      </c>
      <c r="E23" s="9" t="n">
        <v>0</v>
      </c>
      <c r="F23" s="9" t="s">
        <v>108</v>
      </c>
      <c r="G23" s="6" t="n">
        <f aca="false">IF(OR(E23&lt;&gt;0,F23="api_error"),1,0)</f>
        <v>0</v>
      </c>
      <c r="H23" s="9" t="n">
        <v>1</v>
      </c>
      <c r="I23" s="6" t="n">
        <f aca="false">IF(COUNTIF(Runs!$A$2:$A$61,A23)&gt;0,1,0)</f>
        <v>1</v>
      </c>
      <c r="J23" s="6" t="str">
        <f aca="false">IF(AND(COUNTIFS($B$2:$B$65,B23,$I$2:$I$65,1)=1,NOT(AND(G23=1,I23=1))),"ok","CHECK")</f>
        <v>ok</v>
      </c>
      <c r="K23" s="2"/>
      <c r="L23" s="2"/>
      <c r="M23" s="2"/>
      <c r="N23" s="2"/>
      <c r="O23" s="2"/>
      <c r="P23" s="2"/>
      <c r="Q23" s="2"/>
      <c r="R23" s="2"/>
      <c r="S23" s="2"/>
      <c r="T23" s="2"/>
      <c r="U23" s="2"/>
      <c r="V23" s="2"/>
    </row>
    <row r="24" customFormat="false" ht="15" hidden="false" customHeight="false" outlineLevel="0" collapsed="false">
      <c r="A24" s="9" t="s">
        <v>137</v>
      </c>
      <c r="B24" s="9" t="s">
        <v>290</v>
      </c>
      <c r="C24" s="9" t="s">
        <v>104</v>
      </c>
      <c r="D24" s="9" t="s">
        <v>111</v>
      </c>
      <c r="E24" s="9" t="n">
        <v>0</v>
      </c>
      <c r="F24" s="9" t="s">
        <v>129</v>
      </c>
      <c r="G24" s="6" t="n">
        <f aca="false">IF(OR(E24&lt;&gt;0,F24="api_error"),1,0)</f>
        <v>0</v>
      </c>
      <c r="H24" s="9" t="n">
        <v>1</v>
      </c>
      <c r="I24" s="6" t="n">
        <f aca="false">IF(COUNTIF(Runs!$A$2:$A$61,A24)&gt;0,1,0)</f>
        <v>1</v>
      </c>
      <c r="J24" s="6" t="str">
        <f aca="false">IF(AND(COUNTIFS($B$2:$B$65,B24,$I$2:$I$65,1)=1,NOT(AND(G24=1,I24=1))),"ok","CHECK")</f>
        <v>ok</v>
      </c>
      <c r="K24" s="2"/>
      <c r="L24" s="2"/>
      <c r="M24" s="2"/>
      <c r="N24" s="2"/>
      <c r="O24" s="2"/>
      <c r="P24" s="2"/>
      <c r="Q24" s="2"/>
      <c r="R24" s="2"/>
      <c r="S24" s="2"/>
      <c r="T24" s="2"/>
      <c r="U24" s="2"/>
      <c r="V24" s="2"/>
    </row>
    <row r="25" customFormat="false" ht="15" hidden="false" customHeight="false" outlineLevel="0" collapsed="false">
      <c r="A25" s="9" t="s">
        <v>138</v>
      </c>
      <c r="B25" s="9" t="s">
        <v>291</v>
      </c>
      <c r="C25" s="9" t="s">
        <v>104</v>
      </c>
      <c r="D25" s="9" t="s">
        <v>111</v>
      </c>
      <c r="E25" s="9" t="n">
        <v>0</v>
      </c>
      <c r="F25" s="9" t="s">
        <v>108</v>
      </c>
      <c r="G25" s="6" t="n">
        <f aca="false">IF(OR(E25&lt;&gt;0,F25="api_error"),1,0)</f>
        <v>0</v>
      </c>
      <c r="H25" s="9" t="n">
        <v>1</v>
      </c>
      <c r="I25" s="6" t="n">
        <f aca="false">IF(COUNTIF(Runs!$A$2:$A$61,A25)&gt;0,1,0)</f>
        <v>1</v>
      </c>
      <c r="J25" s="6" t="str">
        <f aca="false">IF(AND(COUNTIFS($B$2:$B$65,B25,$I$2:$I$65,1)=1,NOT(AND(G25=1,I25=1))),"ok","CHECK")</f>
        <v>ok</v>
      </c>
      <c r="K25" s="2"/>
      <c r="L25" s="2"/>
      <c r="M25" s="2"/>
      <c r="N25" s="2"/>
      <c r="O25" s="2"/>
      <c r="P25" s="2"/>
      <c r="Q25" s="2"/>
      <c r="R25" s="2"/>
      <c r="S25" s="2"/>
      <c r="T25" s="2"/>
      <c r="U25" s="2"/>
      <c r="V25" s="2"/>
    </row>
    <row r="26" customFormat="false" ht="15" hidden="false" customHeight="false" outlineLevel="0" collapsed="false">
      <c r="A26" s="9" t="s">
        <v>141</v>
      </c>
      <c r="B26" s="9" t="s">
        <v>292</v>
      </c>
      <c r="C26" s="9" t="s">
        <v>104</v>
      </c>
      <c r="D26" s="9" t="s">
        <v>107</v>
      </c>
      <c r="E26" s="9" t="n">
        <v>0</v>
      </c>
      <c r="F26" s="9" t="s">
        <v>108</v>
      </c>
      <c r="G26" s="6" t="n">
        <f aca="false">IF(OR(E26&lt;&gt;0,F26="api_error"),1,0)</f>
        <v>0</v>
      </c>
      <c r="H26" s="9" t="n">
        <v>1</v>
      </c>
      <c r="I26" s="6" t="n">
        <f aca="false">IF(COUNTIF(Runs!$A$2:$A$61,A26)&gt;0,1,0)</f>
        <v>1</v>
      </c>
      <c r="J26" s="6" t="str">
        <f aca="false">IF(AND(COUNTIFS($B$2:$B$65,B26,$I$2:$I$65,1)=1,NOT(AND(G26=1,I26=1))),"ok","CHECK")</f>
        <v>ok</v>
      </c>
      <c r="K26" s="2"/>
      <c r="L26" s="2"/>
      <c r="M26" s="2"/>
      <c r="N26" s="2"/>
      <c r="O26" s="2"/>
      <c r="P26" s="2"/>
      <c r="Q26" s="2"/>
      <c r="R26" s="2"/>
      <c r="S26" s="2"/>
      <c r="T26" s="2"/>
      <c r="U26" s="2"/>
      <c r="V26" s="2"/>
    </row>
    <row r="27" customFormat="false" ht="15" hidden="false" customHeight="false" outlineLevel="0" collapsed="false">
      <c r="A27" s="9" t="s">
        <v>142</v>
      </c>
      <c r="B27" s="9" t="s">
        <v>293</v>
      </c>
      <c r="C27" s="9" t="s">
        <v>104</v>
      </c>
      <c r="D27" s="9" t="s">
        <v>107</v>
      </c>
      <c r="E27" s="9" t="n">
        <v>0</v>
      </c>
      <c r="F27" s="9" t="s">
        <v>108</v>
      </c>
      <c r="G27" s="6" t="n">
        <f aca="false">IF(OR(E27&lt;&gt;0,F27="api_error"),1,0)</f>
        <v>0</v>
      </c>
      <c r="H27" s="9" t="n">
        <v>1</v>
      </c>
      <c r="I27" s="6" t="n">
        <f aca="false">IF(COUNTIF(Runs!$A$2:$A$61,A27)&gt;0,1,0)</f>
        <v>1</v>
      </c>
      <c r="J27" s="6" t="str">
        <f aca="false">IF(AND(COUNTIFS($B$2:$B$65,B27,$I$2:$I$65,1)=1,NOT(AND(G27=1,I27=1))),"ok","CHECK")</f>
        <v>ok</v>
      </c>
      <c r="K27" s="2"/>
      <c r="L27" s="2"/>
      <c r="M27" s="2"/>
      <c r="N27" s="2"/>
      <c r="O27" s="2"/>
      <c r="P27" s="2"/>
      <c r="Q27" s="2"/>
      <c r="R27" s="2"/>
      <c r="S27" s="2"/>
      <c r="T27" s="2"/>
      <c r="U27" s="2"/>
      <c r="V27" s="2"/>
    </row>
    <row r="28" customFormat="false" ht="15" hidden="false" customHeight="false" outlineLevel="0" collapsed="false">
      <c r="A28" s="9" t="s">
        <v>146</v>
      </c>
      <c r="B28" s="9" t="s">
        <v>294</v>
      </c>
      <c r="C28" s="9" t="s">
        <v>104</v>
      </c>
      <c r="D28" s="9" t="s">
        <v>115</v>
      </c>
      <c r="E28" s="9" t="n">
        <v>0</v>
      </c>
      <c r="F28" s="9" t="s">
        <v>108</v>
      </c>
      <c r="G28" s="6" t="n">
        <f aca="false">IF(OR(E28&lt;&gt;0,F28="api_error"),1,0)</f>
        <v>0</v>
      </c>
      <c r="H28" s="9" t="n">
        <v>1</v>
      </c>
      <c r="I28" s="6" t="n">
        <f aca="false">IF(COUNTIF(Runs!$A$2:$A$61,A28)&gt;0,1,0)</f>
        <v>1</v>
      </c>
      <c r="J28" s="6" t="str">
        <f aca="false">IF(AND(COUNTIFS($B$2:$B$65,B28,$I$2:$I$65,1)=1,NOT(AND(G28=1,I28=1))),"ok","CHECK")</f>
        <v>ok</v>
      </c>
      <c r="K28" s="2"/>
      <c r="L28" s="2"/>
      <c r="M28" s="2"/>
      <c r="N28" s="2"/>
      <c r="O28" s="2"/>
      <c r="P28" s="2"/>
      <c r="Q28" s="2"/>
      <c r="R28" s="2"/>
      <c r="S28" s="2"/>
      <c r="T28" s="2"/>
      <c r="U28" s="2"/>
      <c r="V28" s="2"/>
    </row>
    <row r="29" customFormat="false" ht="15" hidden="false" customHeight="false" outlineLevel="0" collapsed="false">
      <c r="A29" s="9" t="s">
        <v>147</v>
      </c>
      <c r="B29" s="9" t="s">
        <v>295</v>
      </c>
      <c r="C29" s="9" t="s">
        <v>104</v>
      </c>
      <c r="D29" s="9" t="s">
        <v>115</v>
      </c>
      <c r="E29" s="9" t="n">
        <v>0</v>
      </c>
      <c r="F29" s="9" t="s">
        <v>108</v>
      </c>
      <c r="G29" s="6" t="n">
        <f aca="false">IF(OR(E29&lt;&gt;0,F29="api_error"),1,0)</f>
        <v>0</v>
      </c>
      <c r="H29" s="9" t="n">
        <v>1</v>
      </c>
      <c r="I29" s="6" t="n">
        <f aca="false">IF(COUNTIF(Runs!$A$2:$A$61,A29)&gt;0,1,0)</f>
        <v>1</v>
      </c>
      <c r="J29" s="6" t="str">
        <f aca="false">IF(AND(COUNTIFS($B$2:$B$65,B29,$I$2:$I$65,1)=1,NOT(AND(G29=1,I29=1))),"ok","CHECK")</f>
        <v>ok</v>
      </c>
      <c r="K29" s="2"/>
      <c r="L29" s="2"/>
      <c r="M29" s="2"/>
      <c r="N29" s="2"/>
      <c r="O29" s="2"/>
      <c r="P29" s="2"/>
      <c r="Q29" s="2"/>
      <c r="R29" s="2"/>
      <c r="S29" s="2"/>
      <c r="T29" s="2"/>
      <c r="U29" s="2"/>
      <c r="V29" s="2"/>
    </row>
    <row r="30" customFormat="false" ht="15" hidden="false" customHeight="false" outlineLevel="0" collapsed="false">
      <c r="A30" s="9" t="s">
        <v>250</v>
      </c>
      <c r="B30" s="9" t="s">
        <v>296</v>
      </c>
      <c r="C30" s="9" t="s">
        <v>104</v>
      </c>
      <c r="D30" s="9" t="s">
        <v>111</v>
      </c>
      <c r="E30" s="9" t="n">
        <v>1</v>
      </c>
      <c r="F30" s="9" t="s">
        <v>297</v>
      </c>
      <c r="G30" s="6" t="n">
        <f aca="false">IF(OR(E30&lt;&gt;0,F30="api_error"),1,0)</f>
        <v>1</v>
      </c>
      <c r="H30" s="9" t="n">
        <v>1</v>
      </c>
      <c r="I30" s="6" t="n">
        <f aca="false">IF(COUNTIF(Runs!$A$2:$A$61,A30)&gt;0,1,0)</f>
        <v>0</v>
      </c>
      <c r="J30" s="6" t="str">
        <f aca="false">IF(AND(COUNTIFS($B$2:$B$65,B30,$I$2:$I$65,1)=1,NOT(AND(G30=1,I30=1))),"ok","CHECK")</f>
        <v>ok</v>
      </c>
      <c r="K30" s="2"/>
      <c r="L30" s="2"/>
      <c r="M30" s="2"/>
      <c r="N30" s="2"/>
      <c r="O30" s="2"/>
      <c r="P30" s="2"/>
      <c r="Q30" s="2"/>
      <c r="R30" s="2"/>
      <c r="S30" s="2"/>
      <c r="T30" s="2"/>
      <c r="U30" s="2"/>
      <c r="V30" s="2"/>
    </row>
    <row r="31" customFormat="false" ht="15" hidden="false" customHeight="false" outlineLevel="0" collapsed="false">
      <c r="A31" s="9" t="s">
        <v>143</v>
      </c>
      <c r="B31" s="9" t="s">
        <v>296</v>
      </c>
      <c r="C31" s="9" t="s">
        <v>104</v>
      </c>
      <c r="D31" s="9" t="s">
        <v>111</v>
      </c>
      <c r="E31" s="9" t="n">
        <v>0</v>
      </c>
      <c r="F31" s="9" t="s">
        <v>108</v>
      </c>
      <c r="G31" s="6" t="n">
        <f aca="false">IF(OR(E31&lt;&gt;0,F31="api_error"),1,0)</f>
        <v>0</v>
      </c>
      <c r="H31" s="9" t="n">
        <v>1</v>
      </c>
      <c r="I31" s="6" t="n">
        <f aca="false">IF(COUNTIF(Runs!$A$2:$A$61,A31)&gt;0,1,0)</f>
        <v>1</v>
      </c>
      <c r="J31" s="6" t="str">
        <f aca="false">IF(AND(COUNTIFS($B$2:$B$65,B31,$I$2:$I$65,1)=1,NOT(AND(G31=1,I31=1))),"ok","CHECK")</f>
        <v>ok</v>
      </c>
      <c r="K31" s="2"/>
      <c r="L31" s="2"/>
      <c r="M31" s="2"/>
      <c r="N31" s="2"/>
      <c r="O31" s="2"/>
      <c r="P31" s="2"/>
      <c r="Q31" s="2"/>
      <c r="R31" s="2"/>
      <c r="S31" s="2"/>
      <c r="T31" s="2"/>
      <c r="U31" s="2"/>
      <c r="V31" s="2"/>
    </row>
    <row r="32" customFormat="false" ht="15" hidden="false" customHeight="false" outlineLevel="0" collapsed="false">
      <c r="A32" s="9" t="s">
        <v>144</v>
      </c>
      <c r="B32" s="9" t="s">
        <v>298</v>
      </c>
      <c r="C32" s="9" t="s">
        <v>104</v>
      </c>
      <c r="D32" s="9" t="s">
        <v>111</v>
      </c>
      <c r="E32" s="9" t="n">
        <v>0</v>
      </c>
      <c r="F32" s="9" t="s">
        <v>145</v>
      </c>
      <c r="G32" s="6" t="n">
        <f aca="false">IF(OR(E32&lt;&gt;0,F32="api_error"),1,0)</f>
        <v>0</v>
      </c>
      <c r="H32" s="9" t="n">
        <v>1</v>
      </c>
      <c r="I32" s="6" t="n">
        <f aca="false">IF(COUNTIF(Runs!$A$2:$A$61,A32)&gt;0,1,0)</f>
        <v>1</v>
      </c>
      <c r="J32" s="6" t="str">
        <f aca="false">IF(AND(COUNTIFS($B$2:$B$65,B32,$I$2:$I$65,1)=1,NOT(AND(G32=1,I32=1))),"ok","CHECK")</f>
        <v>ok</v>
      </c>
      <c r="K32" s="2"/>
      <c r="L32" s="2"/>
      <c r="M32" s="2"/>
      <c r="N32" s="2"/>
      <c r="O32" s="2"/>
      <c r="P32" s="2"/>
      <c r="Q32" s="2"/>
      <c r="R32" s="2"/>
      <c r="S32" s="2"/>
      <c r="T32" s="2"/>
      <c r="U32" s="2"/>
      <c r="V32" s="2"/>
    </row>
    <row r="33" customFormat="false" ht="15" hidden="false" customHeight="false" outlineLevel="0" collapsed="false">
      <c r="A33" s="9" t="s">
        <v>148</v>
      </c>
      <c r="B33" s="9" t="s">
        <v>299</v>
      </c>
      <c r="C33" s="9" t="s">
        <v>104</v>
      </c>
      <c r="D33" s="9" t="s">
        <v>107</v>
      </c>
      <c r="E33" s="9" t="n">
        <v>0</v>
      </c>
      <c r="F33" s="9" t="s">
        <v>149</v>
      </c>
      <c r="G33" s="6" t="n">
        <f aca="false">IF(OR(E33&lt;&gt;0,F33="api_error"),1,0)</f>
        <v>0</v>
      </c>
      <c r="H33" s="9" t="n">
        <v>1</v>
      </c>
      <c r="I33" s="6" t="n">
        <f aca="false">IF(COUNTIF(Runs!$A$2:$A$61,A33)&gt;0,1,0)</f>
        <v>1</v>
      </c>
      <c r="J33" s="6" t="str">
        <f aca="false">IF(AND(COUNTIFS($B$2:$B$65,B33,$I$2:$I$65,1)=1,NOT(AND(G33=1,I33=1))),"ok","CHECK")</f>
        <v>ok</v>
      </c>
      <c r="K33" s="2"/>
      <c r="L33" s="2"/>
      <c r="M33" s="2"/>
      <c r="N33" s="2"/>
      <c r="O33" s="2"/>
      <c r="P33" s="2"/>
      <c r="Q33" s="2"/>
      <c r="R33" s="2"/>
      <c r="S33" s="2"/>
      <c r="T33" s="2"/>
      <c r="U33" s="2"/>
      <c r="V33" s="2"/>
    </row>
    <row r="34" customFormat="false" ht="15" hidden="false" customHeight="false" outlineLevel="0" collapsed="false">
      <c r="A34" s="9" t="s">
        <v>150</v>
      </c>
      <c r="B34" s="9" t="s">
        <v>300</v>
      </c>
      <c r="C34" s="9" t="s">
        <v>104</v>
      </c>
      <c r="D34" s="9" t="s">
        <v>107</v>
      </c>
      <c r="E34" s="9" t="n">
        <v>0</v>
      </c>
      <c r="F34" s="9" t="s">
        <v>108</v>
      </c>
      <c r="G34" s="6" t="n">
        <f aca="false">IF(OR(E34&lt;&gt;0,F34="api_error"),1,0)</f>
        <v>0</v>
      </c>
      <c r="H34" s="9" t="n">
        <v>1</v>
      </c>
      <c r="I34" s="6" t="n">
        <f aca="false">IF(COUNTIF(Runs!$A$2:$A$61,A34)&gt;0,1,0)</f>
        <v>1</v>
      </c>
      <c r="J34" s="6" t="str">
        <f aca="false">IF(AND(COUNTIFS($B$2:$B$65,B34,$I$2:$I$65,1)=1,NOT(AND(G34=1,I34=1))),"ok","CHECK")</f>
        <v>ok</v>
      </c>
      <c r="K34" s="2"/>
      <c r="L34" s="2"/>
      <c r="M34" s="2"/>
      <c r="N34" s="2"/>
      <c r="O34" s="2"/>
      <c r="P34" s="2"/>
      <c r="Q34" s="2"/>
      <c r="R34" s="2"/>
      <c r="S34" s="2"/>
      <c r="T34" s="2"/>
      <c r="U34" s="2"/>
      <c r="V34" s="2"/>
    </row>
    <row r="35" customFormat="false" ht="15" hidden="false" customHeight="false" outlineLevel="0" collapsed="false">
      <c r="A35" s="9" t="s">
        <v>153</v>
      </c>
      <c r="B35" s="9" t="s">
        <v>301</v>
      </c>
      <c r="C35" s="9" t="s">
        <v>104</v>
      </c>
      <c r="D35" s="9" t="s">
        <v>115</v>
      </c>
      <c r="E35" s="9" t="n">
        <v>0</v>
      </c>
      <c r="F35" s="9" t="s">
        <v>108</v>
      </c>
      <c r="G35" s="6" t="n">
        <f aca="false">IF(OR(E35&lt;&gt;0,F35="api_error"),1,0)</f>
        <v>0</v>
      </c>
      <c r="H35" s="9" t="n">
        <v>1</v>
      </c>
      <c r="I35" s="6" t="n">
        <f aca="false">IF(COUNTIF(Runs!$A$2:$A$61,A35)&gt;0,1,0)</f>
        <v>1</v>
      </c>
      <c r="J35" s="6" t="str">
        <f aca="false">IF(AND(COUNTIFS($B$2:$B$65,B35,$I$2:$I$65,1)=1,NOT(AND(G35=1,I35=1))),"ok","CHECK")</f>
        <v>ok</v>
      </c>
      <c r="K35" s="2"/>
      <c r="L35" s="2"/>
      <c r="M35" s="2"/>
      <c r="N35" s="2"/>
      <c r="O35" s="2"/>
      <c r="P35" s="2"/>
      <c r="Q35" s="2"/>
      <c r="R35" s="2"/>
      <c r="S35" s="2"/>
      <c r="T35" s="2"/>
      <c r="U35" s="2"/>
      <c r="V35" s="2"/>
    </row>
    <row r="36" customFormat="false" ht="15" hidden="false" customHeight="false" outlineLevel="0" collapsed="false">
      <c r="A36" s="9" t="s">
        <v>154</v>
      </c>
      <c r="B36" s="9" t="s">
        <v>302</v>
      </c>
      <c r="C36" s="9" t="s">
        <v>104</v>
      </c>
      <c r="D36" s="9" t="s">
        <v>115</v>
      </c>
      <c r="E36" s="9" t="n">
        <v>0</v>
      </c>
      <c r="F36" s="9" t="s">
        <v>108</v>
      </c>
      <c r="G36" s="6" t="n">
        <f aca="false">IF(OR(E36&lt;&gt;0,F36="api_error"),1,0)</f>
        <v>0</v>
      </c>
      <c r="H36" s="9" t="n">
        <v>1</v>
      </c>
      <c r="I36" s="6" t="n">
        <f aca="false">IF(COUNTIF(Runs!$A$2:$A$61,A36)&gt;0,1,0)</f>
        <v>1</v>
      </c>
      <c r="J36" s="6" t="str">
        <f aca="false">IF(AND(COUNTIFS($B$2:$B$65,B36,$I$2:$I$65,1)=1,NOT(AND(G36=1,I36=1))),"ok","CHECK")</f>
        <v>ok</v>
      </c>
      <c r="K36" s="2"/>
      <c r="L36" s="2"/>
      <c r="M36" s="2"/>
      <c r="N36" s="2"/>
      <c r="O36" s="2"/>
      <c r="P36" s="2"/>
      <c r="Q36" s="2"/>
      <c r="R36" s="2"/>
      <c r="S36" s="2"/>
      <c r="T36" s="2"/>
      <c r="U36" s="2"/>
      <c r="V36" s="2"/>
    </row>
    <row r="37" customFormat="false" ht="15" hidden="false" customHeight="false" outlineLevel="0" collapsed="false">
      <c r="A37" s="9" t="s">
        <v>151</v>
      </c>
      <c r="B37" s="9" t="s">
        <v>303</v>
      </c>
      <c r="C37" s="9" t="s">
        <v>104</v>
      </c>
      <c r="D37" s="9" t="s">
        <v>111</v>
      </c>
      <c r="E37" s="9" t="n">
        <v>0</v>
      </c>
      <c r="F37" s="9" t="s">
        <v>108</v>
      </c>
      <c r="G37" s="6" t="n">
        <f aca="false">IF(OR(E37&lt;&gt;0,F37="api_error"),1,0)</f>
        <v>0</v>
      </c>
      <c r="H37" s="9" t="n">
        <v>1</v>
      </c>
      <c r="I37" s="6" t="n">
        <f aca="false">IF(COUNTIF(Runs!$A$2:$A$61,A37)&gt;0,1,0)</f>
        <v>1</v>
      </c>
      <c r="J37" s="6" t="str">
        <f aca="false">IF(AND(COUNTIFS($B$2:$B$65,B37,$I$2:$I$65,1)=1,NOT(AND(G37=1,I37=1))),"ok","CHECK")</f>
        <v>ok</v>
      </c>
      <c r="K37" s="2"/>
      <c r="L37" s="2"/>
      <c r="M37" s="2"/>
      <c r="N37" s="2"/>
      <c r="O37" s="2"/>
      <c r="P37" s="2"/>
      <c r="Q37" s="2"/>
      <c r="R37" s="2"/>
      <c r="S37" s="2"/>
      <c r="T37" s="2"/>
      <c r="U37" s="2"/>
      <c r="V37" s="2"/>
    </row>
    <row r="38" customFormat="false" ht="15" hidden="false" customHeight="false" outlineLevel="0" collapsed="false">
      <c r="A38" s="9" t="s">
        <v>251</v>
      </c>
      <c r="B38" s="9" t="s">
        <v>304</v>
      </c>
      <c r="C38" s="9" t="s">
        <v>104</v>
      </c>
      <c r="D38" s="9" t="s">
        <v>111</v>
      </c>
      <c r="E38" s="9" t="n">
        <v>1</v>
      </c>
      <c r="F38" s="9" t="s">
        <v>297</v>
      </c>
      <c r="G38" s="6" t="n">
        <f aca="false">IF(OR(E38&lt;&gt;0,F38="api_error"),1,0)</f>
        <v>1</v>
      </c>
      <c r="H38" s="9" t="n">
        <v>1</v>
      </c>
      <c r="I38" s="6" t="n">
        <f aca="false">IF(COUNTIF(Runs!$A$2:$A$61,A38)&gt;0,1,0)</f>
        <v>0</v>
      </c>
      <c r="J38" s="6" t="str">
        <f aca="false">IF(AND(COUNTIFS($B$2:$B$65,B38,$I$2:$I$65,1)=1,NOT(AND(G38=1,I38=1))),"ok","CHECK")</f>
        <v>ok</v>
      </c>
      <c r="K38" s="2"/>
      <c r="L38" s="2"/>
      <c r="M38" s="2"/>
      <c r="N38" s="2"/>
      <c r="O38" s="2"/>
      <c r="P38" s="2"/>
      <c r="Q38" s="2"/>
      <c r="R38" s="2"/>
      <c r="S38" s="2"/>
      <c r="T38" s="2"/>
      <c r="U38" s="2"/>
      <c r="V38" s="2"/>
    </row>
    <row r="39" customFormat="false" ht="15" hidden="false" customHeight="false" outlineLevel="0" collapsed="false">
      <c r="A39" s="9" t="s">
        <v>152</v>
      </c>
      <c r="B39" s="9" t="s">
        <v>304</v>
      </c>
      <c r="C39" s="9" t="s">
        <v>104</v>
      </c>
      <c r="D39" s="9" t="s">
        <v>111</v>
      </c>
      <c r="E39" s="9" t="n">
        <v>0</v>
      </c>
      <c r="F39" s="9" t="s">
        <v>108</v>
      </c>
      <c r="G39" s="6" t="n">
        <f aca="false">IF(OR(E39&lt;&gt;0,F39="api_error"),1,0)</f>
        <v>0</v>
      </c>
      <c r="H39" s="9" t="n">
        <v>1</v>
      </c>
      <c r="I39" s="6" t="n">
        <f aca="false">IF(COUNTIF(Runs!$A$2:$A$61,A39)&gt;0,1,0)</f>
        <v>1</v>
      </c>
      <c r="J39" s="6" t="str">
        <f aca="false">IF(AND(COUNTIFS($B$2:$B$65,B39,$I$2:$I$65,1)=1,NOT(AND(G39=1,I39=1))),"ok","CHECK")</f>
        <v>ok</v>
      </c>
      <c r="K39" s="2"/>
      <c r="L39" s="2"/>
      <c r="M39" s="2"/>
      <c r="N39" s="2"/>
      <c r="O39" s="2"/>
      <c r="P39" s="2"/>
      <c r="Q39" s="2"/>
      <c r="R39" s="2"/>
      <c r="S39" s="2"/>
      <c r="T39" s="2"/>
      <c r="U39" s="2"/>
      <c r="V39" s="2"/>
    </row>
    <row r="40" customFormat="false" ht="15" hidden="false" customHeight="false" outlineLevel="0" collapsed="false">
      <c r="A40" s="9" t="s">
        <v>158</v>
      </c>
      <c r="B40" s="9" t="s">
        <v>305</v>
      </c>
      <c r="C40" s="9" t="s">
        <v>156</v>
      </c>
      <c r="D40" s="9" t="s">
        <v>115</v>
      </c>
      <c r="E40" s="9" t="n">
        <v>0</v>
      </c>
      <c r="F40" s="9" t="s">
        <v>108</v>
      </c>
      <c r="G40" s="6" t="n">
        <f aca="false">IF(OR(E40&lt;&gt;0,F40="api_error"),1,0)</f>
        <v>0</v>
      </c>
      <c r="H40" s="9" t="n">
        <v>1</v>
      </c>
      <c r="I40" s="6" t="n">
        <f aca="false">IF(COUNTIF(Runs!$A$2:$A$61,A40)&gt;0,1,0)</f>
        <v>1</v>
      </c>
      <c r="J40" s="6" t="str">
        <f aca="false">IF(AND(COUNTIFS($B$2:$B$65,B40,$I$2:$I$65,1)=1,NOT(AND(G40=1,I40=1))),"ok","CHECK")</f>
        <v>ok</v>
      </c>
      <c r="K40" s="2"/>
      <c r="L40" s="2"/>
      <c r="M40" s="2"/>
      <c r="N40" s="2"/>
      <c r="O40" s="2"/>
      <c r="P40" s="2"/>
      <c r="Q40" s="2"/>
      <c r="R40" s="2"/>
      <c r="S40" s="2"/>
      <c r="T40" s="2"/>
      <c r="U40" s="2"/>
      <c r="V40" s="2"/>
    </row>
    <row r="41" customFormat="false" ht="15" hidden="false" customHeight="false" outlineLevel="0" collapsed="false">
      <c r="A41" s="9" t="s">
        <v>159</v>
      </c>
      <c r="B41" s="9" t="s">
        <v>306</v>
      </c>
      <c r="C41" s="9" t="s">
        <v>156</v>
      </c>
      <c r="D41" s="9" t="s">
        <v>115</v>
      </c>
      <c r="E41" s="9" t="n">
        <v>0</v>
      </c>
      <c r="F41" s="9" t="s">
        <v>108</v>
      </c>
      <c r="G41" s="6" t="n">
        <f aca="false">IF(OR(E41&lt;&gt;0,F41="api_error"),1,0)</f>
        <v>0</v>
      </c>
      <c r="H41" s="9" t="n">
        <v>1</v>
      </c>
      <c r="I41" s="6" t="n">
        <f aca="false">IF(COUNTIF(Runs!$A$2:$A$61,A41)&gt;0,1,0)</f>
        <v>1</v>
      </c>
      <c r="J41" s="6" t="str">
        <f aca="false">IF(AND(COUNTIFS($B$2:$B$65,B41,$I$2:$I$65,1)=1,NOT(AND(G41=1,I41=1))),"ok","CHECK")</f>
        <v>ok</v>
      </c>
      <c r="K41" s="2"/>
      <c r="L41" s="2"/>
      <c r="M41" s="2"/>
      <c r="N41" s="2"/>
      <c r="O41" s="2"/>
      <c r="P41" s="2"/>
      <c r="Q41" s="2"/>
      <c r="R41" s="2"/>
      <c r="S41" s="2"/>
      <c r="T41" s="2"/>
      <c r="U41" s="2"/>
      <c r="V41" s="2"/>
    </row>
    <row r="42" customFormat="false" ht="15" hidden="false" customHeight="false" outlineLevel="0" collapsed="false">
      <c r="A42" s="9" t="s">
        <v>155</v>
      </c>
      <c r="B42" s="9" t="s">
        <v>307</v>
      </c>
      <c r="C42" s="9" t="s">
        <v>156</v>
      </c>
      <c r="D42" s="9" t="s">
        <v>111</v>
      </c>
      <c r="E42" s="9" t="n">
        <v>0</v>
      </c>
      <c r="F42" s="9" t="s">
        <v>108</v>
      </c>
      <c r="G42" s="6" t="n">
        <f aca="false">IF(OR(E42&lt;&gt;0,F42="api_error"),1,0)</f>
        <v>0</v>
      </c>
      <c r="H42" s="9" t="n">
        <v>1</v>
      </c>
      <c r="I42" s="6" t="n">
        <f aca="false">IF(COUNTIF(Runs!$A$2:$A$61,A42)&gt;0,1,0)</f>
        <v>1</v>
      </c>
      <c r="J42" s="6" t="str">
        <f aca="false">IF(AND(COUNTIFS($B$2:$B$65,B42,$I$2:$I$65,1)=1,NOT(AND(G42=1,I42=1))),"ok","CHECK")</f>
        <v>ok</v>
      </c>
      <c r="K42" s="2"/>
      <c r="L42" s="2"/>
      <c r="M42" s="2"/>
      <c r="N42" s="2"/>
      <c r="O42" s="2"/>
      <c r="P42" s="2"/>
      <c r="Q42" s="2"/>
      <c r="R42" s="2"/>
      <c r="S42" s="2"/>
      <c r="T42" s="2"/>
      <c r="U42" s="2"/>
      <c r="V42" s="2"/>
    </row>
    <row r="43" customFormat="false" ht="15" hidden="false" customHeight="false" outlineLevel="0" collapsed="false">
      <c r="A43" s="9" t="s">
        <v>157</v>
      </c>
      <c r="B43" s="9" t="s">
        <v>308</v>
      </c>
      <c r="C43" s="9" t="s">
        <v>156</v>
      </c>
      <c r="D43" s="9" t="s">
        <v>111</v>
      </c>
      <c r="E43" s="9" t="n">
        <v>0</v>
      </c>
      <c r="F43" s="9" t="s">
        <v>108</v>
      </c>
      <c r="G43" s="6" t="n">
        <f aca="false">IF(OR(E43&lt;&gt;0,F43="api_error"),1,0)</f>
        <v>0</v>
      </c>
      <c r="H43" s="9" t="n">
        <v>1</v>
      </c>
      <c r="I43" s="6" t="n">
        <f aca="false">IF(COUNTIF(Runs!$A$2:$A$61,A43)&gt;0,1,0)</f>
        <v>1</v>
      </c>
      <c r="J43" s="6" t="str">
        <f aca="false">IF(AND(COUNTIFS($B$2:$B$65,B43,$I$2:$I$65,1)=1,NOT(AND(G43=1,I43=1))),"ok","CHECK")</f>
        <v>ok</v>
      </c>
      <c r="K43" s="2"/>
      <c r="L43" s="2"/>
      <c r="M43" s="2"/>
      <c r="N43" s="2"/>
      <c r="O43" s="2"/>
      <c r="P43" s="2"/>
      <c r="Q43" s="2"/>
      <c r="R43" s="2"/>
      <c r="S43" s="2"/>
      <c r="T43" s="2"/>
      <c r="U43" s="2"/>
      <c r="V43" s="2"/>
    </row>
    <row r="44" customFormat="false" ht="15" hidden="false" customHeight="false" outlineLevel="0" collapsed="false">
      <c r="A44" s="9" t="s">
        <v>163</v>
      </c>
      <c r="B44" s="9" t="s">
        <v>309</v>
      </c>
      <c r="C44" s="9" t="s">
        <v>156</v>
      </c>
      <c r="D44" s="9" t="s">
        <v>115</v>
      </c>
      <c r="E44" s="9" t="n">
        <v>0</v>
      </c>
      <c r="F44" s="9" t="s">
        <v>108</v>
      </c>
      <c r="G44" s="6" t="n">
        <f aca="false">IF(OR(E44&lt;&gt;0,F44="api_error"),1,0)</f>
        <v>0</v>
      </c>
      <c r="H44" s="9" t="n">
        <v>1</v>
      </c>
      <c r="I44" s="6" t="n">
        <f aca="false">IF(COUNTIF(Runs!$A$2:$A$61,A44)&gt;0,1,0)</f>
        <v>1</v>
      </c>
      <c r="J44" s="6" t="str">
        <f aca="false">IF(AND(COUNTIFS($B$2:$B$65,B44,$I$2:$I$65,1)=1,NOT(AND(G44=1,I44=1))),"ok","CHECK")</f>
        <v>ok</v>
      </c>
      <c r="K44" s="2"/>
      <c r="L44" s="2"/>
      <c r="M44" s="2"/>
      <c r="N44" s="2"/>
      <c r="O44" s="2"/>
      <c r="P44" s="2"/>
      <c r="Q44" s="2"/>
      <c r="R44" s="2"/>
      <c r="S44" s="2"/>
      <c r="T44" s="2"/>
      <c r="U44" s="2"/>
      <c r="V44" s="2"/>
    </row>
    <row r="45" customFormat="false" ht="15" hidden="false" customHeight="false" outlineLevel="0" collapsed="false">
      <c r="A45" s="9" t="s">
        <v>164</v>
      </c>
      <c r="B45" s="9" t="s">
        <v>310</v>
      </c>
      <c r="C45" s="9" t="s">
        <v>156</v>
      </c>
      <c r="D45" s="9" t="s">
        <v>115</v>
      </c>
      <c r="E45" s="9" t="n">
        <v>0</v>
      </c>
      <c r="F45" s="9" t="s">
        <v>108</v>
      </c>
      <c r="G45" s="6" t="n">
        <f aca="false">IF(OR(E45&lt;&gt;0,F45="api_error"),1,0)</f>
        <v>0</v>
      </c>
      <c r="H45" s="9" t="n">
        <v>1</v>
      </c>
      <c r="I45" s="6" t="n">
        <f aca="false">IF(COUNTIF(Runs!$A$2:$A$61,A45)&gt;0,1,0)</f>
        <v>1</v>
      </c>
      <c r="J45" s="6" t="str">
        <f aca="false">IF(AND(COUNTIFS($B$2:$B$65,B45,$I$2:$I$65,1)=1,NOT(AND(G45=1,I45=1))),"ok","CHECK")</f>
        <v>ok</v>
      </c>
      <c r="K45" s="2"/>
      <c r="L45" s="2"/>
      <c r="M45" s="2"/>
      <c r="N45" s="2"/>
      <c r="O45" s="2"/>
      <c r="P45" s="2"/>
      <c r="Q45" s="2"/>
      <c r="R45" s="2"/>
      <c r="S45" s="2"/>
      <c r="T45" s="2"/>
      <c r="U45" s="2"/>
      <c r="V45" s="2"/>
    </row>
    <row r="46" customFormat="false" ht="15" hidden="false" customHeight="false" outlineLevel="0" collapsed="false">
      <c r="A46" s="9" t="s">
        <v>160</v>
      </c>
      <c r="B46" s="9" t="s">
        <v>311</v>
      </c>
      <c r="C46" s="9" t="s">
        <v>156</v>
      </c>
      <c r="D46" s="9" t="s">
        <v>111</v>
      </c>
      <c r="E46" s="9" t="n">
        <v>0</v>
      </c>
      <c r="F46" s="9" t="s">
        <v>161</v>
      </c>
      <c r="G46" s="6" t="n">
        <f aca="false">IF(OR(E46&lt;&gt;0,F46="api_error"),1,0)</f>
        <v>0</v>
      </c>
      <c r="H46" s="9" t="n">
        <v>1</v>
      </c>
      <c r="I46" s="6" t="n">
        <f aca="false">IF(COUNTIF(Runs!$A$2:$A$61,A46)&gt;0,1,0)</f>
        <v>1</v>
      </c>
      <c r="J46" s="6" t="str">
        <f aca="false">IF(AND(COUNTIFS($B$2:$B$65,B46,$I$2:$I$65,1)=1,NOT(AND(G46=1,I46=1))),"ok","CHECK")</f>
        <v>ok</v>
      </c>
      <c r="K46" s="2"/>
      <c r="L46" s="2"/>
      <c r="M46" s="2"/>
      <c r="N46" s="2"/>
      <c r="O46" s="2"/>
      <c r="P46" s="2"/>
      <c r="Q46" s="2"/>
      <c r="R46" s="2"/>
      <c r="S46" s="2"/>
      <c r="T46" s="2"/>
      <c r="U46" s="2"/>
      <c r="V46" s="2"/>
    </row>
    <row r="47" customFormat="false" ht="15" hidden="false" customHeight="false" outlineLevel="0" collapsed="false">
      <c r="A47" s="9" t="s">
        <v>162</v>
      </c>
      <c r="B47" s="9" t="s">
        <v>312</v>
      </c>
      <c r="C47" s="9" t="s">
        <v>156</v>
      </c>
      <c r="D47" s="9" t="s">
        <v>111</v>
      </c>
      <c r="E47" s="9" t="n">
        <v>0</v>
      </c>
      <c r="F47" s="9" t="s">
        <v>108</v>
      </c>
      <c r="G47" s="6" t="n">
        <f aca="false">IF(OR(E47&lt;&gt;0,F47="api_error"),1,0)</f>
        <v>0</v>
      </c>
      <c r="H47" s="9" t="n">
        <v>1</v>
      </c>
      <c r="I47" s="6" t="n">
        <f aca="false">IF(COUNTIF(Runs!$A$2:$A$61,A47)&gt;0,1,0)</f>
        <v>1</v>
      </c>
      <c r="J47" s="6" t="str">
        <f aca="false">IF(AND(COUNTIFS($B$2:$B$65,B47,$I$2:$I$65,1)=1,NOT(AND(G47=1,I47=1))),"ok","CHECK")</f>
        <v>ok</v>
      </c>
      <c r="K47" s="2"/>
      <c r="L47" s="2"/>
      <c r="M47" s="2"/>
      <c r="N47" s="2"/>
      <c r="O47" s="2"/>
      <c r="P47" s="2"/>
      <c r="Q47" s="2"/>
      <c r="R47" s="2"/>
      <c r="S47" s="2"/>
      <c r="T47" s="2"/>
      <c r="U47" s="2"/>
      <c r="V47" s="2"/>
    </row>
    <row r="48" customFormat="false" ht="15" hidden="false" customHeight="false" outlineLevel="0" collapsed="false">
      <c r="A48" s="9" t="s">
        <v>167</v>
      </c>
      <c r="B48" s="9" t="s">
        <v>313</v>
      </c>
      <c r="C48" s="9" t="s">
        <v>156</v>
      </c>
      <c r="D48" s="9" t="s">
        <v>115</v>
      </c>
      <c r="E48" s="9" t="n">
        <v>0</v>
      </c>
      <c r="F48" s="9" t="s">
        <v>108</v>
      </c>
      <c r="G48" s="6" t="n">
        <f aca="false">IF(OR(E48&lt;&gt;0,F48="api_error"),1,0)</f>
        <v>0</v>
      </c>
      <c r="H48" s="9" t="n">
        <v>1</v>
      </c>
      <c r="I48" s="6" t="n">
        <f aca="false">IF(COUNTIF(Runs!$A$2:$A$61,A48)&gt;0,1,0)</f>
        <v>1</v>
      </c>
      <c r="J48" s="6" t="str">
        <f aca="false">IF(AND(COUNTIFS($B$2:$B$65,B48,$I$2:$I$65,1)=1,NOT(AND(G48=1,I48=1))),"ok","CHECK")</f>
        <v>ok</v>
      </c>
      <c r="K48" s="2"/>
      <c r="L48" s="2"/>
      <c r="M48" s="2"/>
      <c r="N48" s="2"/>
      <c r="O48" s="2"/>
      <c r="P48" s="2"/>
      <c r="Q48" s="2"/>
      <c r="R48" s="2"/>
      <c r="S48" s="2"/>
      <c r="T48" s="2"/>
      <c r="U48" s="2"/>
      <c r="V48" s="2"/>
    </row>
    <row r="49" customFormat="false" ht="15" hidden="false" customHeight="false" outlineLevel="0" collapsed="false">
      <c r="A49" s="9" t="s">
        <v>168</v>
      </c>
      <c r="B49" s="9" t="s">
        <v>314</v>
      </c>
      <c r="C49" s="9" t="s">
        <v>156</v>
      </c>
      <c r="D49" s="9" t="s">
        <v>115</v>
      </c>
      <c r="E49" s="9" t="n">
        <v>0</v>
      </c>
      <c r="F49" s="9" t="s">
        <v>108</v>
      </c>
      <c r="G49" s="6" t="n">
        <f aca="false">IF(OR(E49&lt;&gt;0,F49="api_error"),1,0)</f>
        <v>0</v>
      </c>
      <c r="H49" s="9" t="n">
        <v>1</v>
      </c>
      <c r="I49" s="6" t="n">
        <f aca="false">IF(COUNTIF(Runs!$A$2:$A$61,A49)&gt;0,1,0)</f>
        <v>1</v>
      </c>
      <c r="J49" s="6" t="str">
        <f aca="false">IF(AND(COUNTIFS($B$2:$B$65,B49,$I$2:$I$65,1)=1,NOT(AND(G49=1,I49=1))),"ok","CHECK")</f>
        <v>ok</v>
      </c>
      <c r="K49" s="2"/>
      <c r="L49" s="2"/>
      <c r="M49" s="2"/>
      <c r="N49" s="2"/>
      <c r="O49" s="2"/>
      <c r="P49" s="2"/>
      <c r="Q49" s="2"/>
      <c r="R49" s="2"/>
      <c r="S49" s="2"/>
      <c r="T49" s="2"/>
      <c r="U49" s="2"/>
      <c r="V49" s="2"/>
    </row>
    <row r="50" customFormat="false" ht="15" hidden="false" customHeight="false" outlineLevel="0" collapsed="false">
      <c r="A50" s="9" t="s">
        <v>165</v>
      </c>
      <c r="B50" s="9" t="s">
        <v>315</v>
      </c>
      <c r="C50" s="9" t="s">
        <v>156</v>
      </c>
      <c r="D50" s="9" t="s">
        <v>111</v>
      </c>
      <c r="E50" s="9" t="n">
        <v>0</v>
      </c>
      <c r="F50" s="9" t="s">
        <v>108</v>
      </c>
      <c r="G50" s="6" t="n">
        <f aca="false">IF(OR(E50&lt;&gt;0,F50="api_error"),1,0)</f>
        <v>0</v>
      </c>
      <c r="H50" s="9" t="n">
        <v>1</v>
      </c>
      <c r="I50" s="6" t="n">
        <f aca="false">IF(COUNTIF(Runs!$A$2:$A$61,A50)&gt;0,1,0)</f>
        <v>1</v>
      </c>
      <c r="J50" s="6" t="str">
        <f aca="false">IF(AND(COUNTIFS($B$2:$B$65,B50,$I$2:$I$65,1)=1,NOT(AND(G50=1,I50=1))),"ok","CHECK")</f>
        <v>ok</v>
      </c>
      <c r="K50" s="2"/>
      <c r="L50" s="2"/>
      <c r="M50" s="2"/>
      <c r="N50" s="2"/>
      <c r="O50" s="2"/>
      <c r="P50" s="2"/>
      <c r="Q50" s="2"/>
      <c r="R50" s="2"/>
      <c r="S50" s="2"/>
      <c r="T50" s="2"/>
      <c r="U50" s="2"/>
      <c r="V50" s="2"/>
    </row>
    <row r="51" customFormat="false" ht="15" hidden="false" customHeight="false" outlineLevel="0" collapsed="false">
      <c r="A51" s="9" t="s">
        <v>166</v>
      </c>
      <c r="B51" s="9" t="s">
        <v>316</v>
      </c>
      <c r="C51" s="9" t="s">
        <v>156</v>
      </c>
      <c r="D51" s="9" t="s">
        <v>111</v>
      </c>
      <c r="E51" s="9" t="n">
        <v>0</v>
      </c>
      <c r="F51" s="9" t="s">
        <v>108</v>
      </c>
      <c r="G51" s="6" t="n">
        <f aca="false">IF(OR(E51&lt;&gt;0,F51="api_error"),1,0)</f>
        <v>0</v>
      </c>
      <c r="H51" s="9" t="n">
        <v>1</v>
      </c>
      <c r="I51" s="6" t="n">
        <f aca="false">IF(COUNTIF(Runs!$A$2:$A$61,A51)&gt;0,1,0)</f>
        <v>1</v>
      </c>
      <c r="J51" s="6" t="str">
        <f aca="false">IF(AND(COUNTIFS($B$2:$B$65,B51,$I$2:$I$65,1)=1,NOT(AND(G51=1,I51=1))),"ok","CHECK")</f>
        <v>ok</v>
      </c>
      <c r="K51" s="2"/>
      <c r="L51" s="2"/>
      <c r="M51" s="2"/>
      <c r="N51" s="2"/>
      <c r="O51" s="2"/>
      <c r="P51" s="2"/>
      <c r="Q51" s="2"/>
      <c r="R51" s="2"/>
      <c r="S51" s="2"/>
      <c r="T51" s="2"/>
      <c r="U51" s="2"/>
      <c r="V51" s="2"/>
    </row>
    <row r="52" customFormat="false" ht="15" hidden="false" customHeight="false" outlineLevel="0" collapsed="false">
      <c r="A52" s="9" t="s">
        <v>171</v>
      </c>
      <c r="B52" s="9" t="s">
        <v>317</v>
      </c>
      <c r="C52" s="9" t="s">
        <v>156</v>
      </c>
      <c r="D52" s="9" t="s">
        <v>115</v>
      </c>
      <c r="E52" s="9" t="n">
        <v>0</v>
      </c>
      <c r="F52" s="9" t="s">
        <v>108</v>
      </c>
      <c r="G52" s="6" t="n">
        <f aca="false">IF(OR(E52&lt;&gt;0,F52="api_error"),1,0)</f>
        <v>0</v>
      </c>
      <c r="H52" s="9" t="n">
        <v>1</v>
      </c>
      <c r="I52" s="6" t="n">
        <f aca="false">IF(COUNTIF(Runs!$A$2:$A$61,A52)&gt;0,1,0)</f>
        <v>1</v>
      </c>
      <c r="J52" s="6" t="str">
        <f aca="false">IF(AND(COUNTIFS($B$2:$B$65,B52,$I$2:$I$65,1)=1,NOT(AND(G52=1,I52=1))),"ok","CHECK")</f>
        <v>ok</v>
      </c>
      <c r="K52" s="2"/>
      <c r="L52" s="2"/>
      <c r="M52" s="2"/>
      <c r="N52" s="2"/>
      <c r="O52" s="2"/>
      <c r="P52" s="2"/>
      <c r="Q52" s="2"/>
      <c r="R52" s="2"/>
      <c r="S52" s="2"/>
      <c r="T52" s="2"/>
      <c r="U52" s="2"/>
      <c r="V52" s="2"/>
    </row>
    <row r="53" customFormat="false" ht="15" hidden="false" customHeight="false" outlineLevel="0" collapsed="false">
      <c r="A53" s="9" t="s">
        <v>172</v>
      </c>
      <c r="B53" s="9" t="s">
        <v>318</v>
      </c>
      <c r="C53" s="9" t="s">
        <v>156</v>
      </c>
      <c r="D53" s="9" t="s">
        <v>115</v>
      </c>
      <c r="E53" s="9" t="n">
        <v>0</v>
      </c>
      <c r="F53" s="9" t="s">
        <v>108</v>
      </c>
      <c r="G53" s="6" t="n">
        <f aca="false">IF(OR(E53&lt;&gt;0,F53="api_error"),1,0)</f>
        <v>0</v>
      </c>
      <c r="H53" s="9" t="n">
        <v>1</v>
      </c>
      <c r="I53" s="6" t="n">
        <f aca="false">IF(COUNTIF(Runs!$A$2:$A$61,A53)&gt;0,1,0)</f>
        <v>1</v>
      </c>
      <c r="J53" s="6" t="str">
        <f aca="false">IF(AND(COUNTIFS($B$2:$B$65,B53,$I$2:$I$65,1)=1,NOT(AND(G53=1,I53=1))),"ok","CHECK")</f>
        <v>ok</v>
      </c>
      <c r="K53" s="2"/>
      <c r="L53" s="2"/>
      <c r="M53" s="2"/>
      <c r="N53" s="2"/>
      <c r="O53" s="2"/>
      <c r="P53" s="2"/>
      <c r="Q53" s="2"/>
      <c r="R53" s="2"/>
      <c r="S53" s="2"/>
      <c r="T53" s="2"/>
      <c r="U53" s="2"/>
      <c r="V53" s="2"/>
    </row>
    <row r="54" customFormat="false" ht="15" hidden="false" customHeight="false" outlineLevel="0" collapsed="false">
      <c r="A54" s="9" t="s">
        <v>169</v>
      </c>
      <c r="B54" s="9" t="s">
        <v>319</v>
      </c>
      <c r="C54" s="9" t="s">
        <v>156</v>
      </c>
      <c r="D54" s="9" t="s">
        <v>111</v>
      </c>
      <c r="E54" s="9" t="n">
        <v>0</v>
      </c>
      <c r="F54" s="9" t="s">
        <v>108</v>
      </c>
      <c r="G54" s="6" t="n">
        <f aca="false">IF(OR(E54&lt;&gt;0,F54="api_error"),1,0)</f>
        <v>0</v>
      </c>
      <c r="H54" s="9" t="n">
        <v>1</v>
      </c>
      <c r="I54" s="6" t="n">
        <f aca="false">IF(COUNTIF(Runs!$A$2:$A$61,A54)&gt;0,1,0)</f>
        <v>1</v>
      </c>
      <c r="J54" s="6" t="str">
        <f aca="false">IF(AND(COUNTIFS($B$2:$B$65,B54,$I$2:$I$65,1)=1,NOT(AND(G54=1,I54=1))),"ok","CHECK")</f>
        <v>ok</v>
      </c>
      <c r="K54" s="2"/>
      <c r="L54" s="2"/>
      <c r="M54" s="2"/>
      <c r="N54" s="2"/>
      <c r="O54" s="2"/>
      <c r="P54" s="2"/>
      <c r="Q54" s="2"/>
      <c r="R54" s="2"/>
      <c r="S54" s="2"/>
      <c r="T54" s="2"/>
      <c r="U54" s="2"/>
      <c r="V54" s="2"/>
    </row>
    <row r="55" customFormat="false" ht="15" hidden="false" customHeight="false" outlineLevel="0" collapsed="false">
      <c r="A55" s="9" t="s">
        <v>170</v>
      </c>
      <c r="B55" s="9" t="s">
        <v>320</v>
      </c>
      <c r="C55" s="9" t="s">
        <v>156</v>
      </c>
      <c r="D55" s="9" t="s">
        <v>111</v>
      </c>
      <c r="E55" s="9" t="n">
        <v>0</v>
      </c>
      <c r="F55" s="9" t="s">
        <v>108</v>
      </c>
      <c r="G55" s="6" t="n">
        <f aca="false">IF(OR(E55&lt;&gt;0,F55="api_error"),1,0)</f>
        <v>0</v>
      </c>
      <c r="H55" s="9" t="n">
        <v>1</v>
      </c>
      <c r="I55" s="6" t="n">
        <f aca="false">IF(COUNTIF(Runs!$A$2:$A$61,A55)&gt;0,1,0)</f>
        <v>1</v>
      </c>
      <c r="J55" s="6" t="str">
        <f aca="false">IF(AND(COUNTIFS($B$2:$B$65,B55,$I$2:$I$65,1)=1,NOT(AND(G55=1,I55=1))),"ok","CHECK")</f>
        <v>ok</v>
      </c>
      <c r="K55" s="2"/>
      <c r="L55" s="2"/>
      <c r="M55" s="2"/>
      <c r="N55" s="2"/>
      <c r="O55" s="2"/>
      <c r="P55" s="2"/>
      <c r="Q55" s="2"/>
      <c r="R55" s="2"/>
      <c r="S55" s="2"/>
      <c r="T55" s="2"/>
      <c r="U55" s="2"/>
      <c r="V55" s="2"/>
    </row>
    <row r="56" customFormat="false" ht="15" hidden="false" customHeight="false" outlineLevel="0" collapsed="false">
      <c r="A56" s="9" t="s">
        <v>175</v>
      </c>
      <c r="B56" s="9" t="s">
        <v>321</v>
      </c>
      <c r="C56" s="9" t="s">
        <v>156</v>
      </c>
      <c r="D56" s="9" t="s">
        <v>115</v>
      </c>
      <c r="E56" s="9" t="n">
        <v>0</v>
      </c>
      <c r="F56" s="9" t="s">
        <v>108</v>
      </c>
      <c r="G56" s="6" t="n">
        <f aca="false">IF(OR(E56&lt;&gt;0,F56="api_error"),1,0)</f>
        <v>0</v>
      </c>
      <c r="H56" s="9" t="n">
        <v>1</v>
      </c>
      <c r="I56" s="6" t="n">
        <f aca="false">IF(COUNTIF(Runs!$A$2:$A$61,A56)&gt;0,1,0)</f>
        <v>1</v>
      </c>
      <c r="J56" s="6" t="str">
        <f aca="false">IF(AND(COUNTIFS($B$2:$B$65,B56,$I$2:$I$65,1)=1,NOT(AND(G56=1,I56=1))),"ok","CHECK")</f>
        <v>ok</v>
      </c>
      <c r="K56" s="2"/>
      <c r="L56" s="2"/>
      <c r="M56" s="2"/>
      <c r="N56" s="2"/>
      <c r="O56" s="2"/>
      <c r="P56" s="2"/>
      <c r="Q56" s="2"/>
      <c r="R56" s="2"/>
      <c r="S56" s="2"/>
      <c r="T56" s="2"/>
      <c r="U56" s="2"/>
      <c r="V56" s="2"/>
    </row>
    <row r="57" customFormat="false" ht="15" hidden="false" customHeight="false" outlineLevel="0" collapsed="false">
      <c r="A57" s="9" t="s">
        <v>176</v>
      </c>
      <c r="B57" s="9" t="s">
        <v>322</v>
      </c>
      <c r="C57" s="9" t="s">
        <v>156</v>
      </c>
      <c r="D57" s="9" t="s">
        <v>115</v>
      </c>
      <c r="E57" s="9" t="n">
        <v>0</v>
      </c>
      <c r="F57" s="9" t="s">
        <v>108</v>
      </c>
      <c r="G57" s="6" t="n">
        <f aca="false">IF(OR(E57&lt;&gt;0,F57="api_error"),1,0)</f>
        <v>0</v>
      </c>
      <c r="H57" s="9" t="n">
        <v>1</v>
      </c>
      <c r="I57" s="6" t="n">
        <f aca="false">IF(COUNTIF(Runs!$A$2:$A$61,A57)&gt;0,1,0)</f>
        <v>1</v>
      </c>
      <c r="J57" s="6" t="str">
        <f aca="false">IF(AND(COUNTIFS($B$2:$B$65,B57,$I$2:$I$65,1)=1,NOT(AND(G57=1,I57=1))),"ok","CHECK")</f>
        <v>ok</v>
      </c>
      <c r="K57" s="2"/>
      <c r="L57" s="2"/>
      <c r="M57" s="2"/>
      <c r="N57" s="2"/>
      <c r="O57" s="2"/>
      <c r="P57" s="2"/>
      <c r="Q57" s="2"/>
      <c r="R57" s="2"/>
      <c r="S57" s="2"/>
      <c r="T57" s="2"/>
      <c r="U57" s="2"/>
      <c r="V57" s="2"/>
    </row>
    <row r="58" customFormat="false" ht="15" hidden="false" customHeight="false" outlineLevel="0" collapsed="false">
      <c r="A58" s="9" t="s">
        <v>173</v>
      </c>
      <c r="B58" s="9" t="s">
        <v>323</v>
      </c>
      <c r="C58" s="9" t="s">
        <v>156</v>
      </c>
      <c r="D58" s="9" t="s">
        <v>111</v>
      </c>
      <c r="E58" s="9" t="n">
        <v>0</v>
      </c>
      <c r="F58" s="9" t="s">
        <v>108</v>
      </c>
      <c r="G58" s="6" t="n">
        <f aca="false">IF(OR(E58&lt;&gt;0,F58="api_error"),1,0)</f>
        <v>0</v>
      </c>
      <c r="H58" s="9" t="n">
        <v>1</v>
      </c>
      <c r="I58" s="6" t="n">
        <f aca="false">IF(COUNTIF(Runs!$A$2:$A$61,A58)&gt;0,1,0)</f>
        <v>1</v>
      </c>
      <c r="J58" s="6" t="str">
        <f aca="false">IF(AND(COUNTIFS($B$2:$B$65,B58,$I$2:$I$65,1)=1,NOT(AND(G58=1,I58=1))),"ok","CHECK")</f>
        <v>ok</v>
      </c>
      <c r="K58" s="2"/>
      <c r="L58" s="2"/>
      <c r="M58" s="2"/>
      <c r="N58" s="2"/>
      <c r="O58" s="2"/>
      <c r="P58" s="2"/>
      <c r="Q58" s="2"/>
      <c r="R58" s="2"/>
      <c r="S58" s="2"/>
      <c r="T58" s="2"/>
      <c r="U58" s="2"/>
      <c r="V58" s="2"/>
    </row>
    <row r="59" customFormat="false" ht="15" hidden="false" customHeight="false" outlineLevel="0" collapsed="false">
      <c r="A59" s="9" t="s">
        <v>174</v>
      </c>
      <c r="B59" s="9" t="s">
        <v>324</v>
      </c>
      <c r="C59" s="9" t="s">
        <v>156</v>
      </c>
      <c r="D59" s="9" t="s">
        <v>111</v>
      </c>
      <c r="E59" s="9" t="n">
        <v>0</v>
      </c>
      <c r="F59" s="9" t="s">
        <v>131</v>
      </c>
      <c r="G59" s="6" t="n">
        <f aca="false">IF(OR(E59&lt;&gt;0,F59="api_error"),1,0)</f>
        <v>0</v>
      </c>
      <c r="H59" s="9" t="n">
        <v>1</v>
      </c>
      <c r="I59" s="6" t="n">
        <f aca="false">IF(COUNTIF(Runs!$A$2:$A$61,A59)&gt;0,1,0)</f>
        <v>1</v>
      </c>
      <c r="J59" s="6" t="str">
        <f aca="false">IF(AND(COUNTIFS($B$2:$B$65,B59,$I$2:$I$65,1)=1,NOT(AND(G59=1,I59=1))),"ok","CHECK")</f>
        <v>ok</v>
      </c>
      <c r="K59" s="2"/>
      <c r="L59" s="2"/>
      <c r="M59" s="2"/>
      <c r="N59" s="2"/>
      <c r="O59" s="2"/>
      <c r="P59" s="2"/>
      <c r="Q59" s="2"/>
      <c r="R59" s="2"/>
      <c r="S59" s="2"/>
      <c r="T59" s="2"/>
      <c r="U59" s="2"/>
      <c r="V59" s="2"/>
    </row>
    <row r="60" customFormat="false" ht="15" hidden="false" customHeight="false" outlineLevel="0" collapsed="false">
      <c r="A60" s="9" t="s">
        <v>179</v>
      </c>
      <c r="B60" s="9" t="s">
        <v>325</v>
      </c>
      <c r="C60" s="9" t="s">
        <v>156</v>
      </c>
      <c r="D60" s="9" t="s">
        <v>115</v>
      </c>
      <c r="E60" s="9" t="n">
        <v>0</v>
      </c>
      <c r="F60" s="9" t="s">
        <v>108</v>
      </c>
      <c r="G60" s="6" t="n">
        <f aca="false">IF(OR(E60&lt;&gt;0,F60="api_error"),1,0)</f>
        <v>0</v>
      </c>
      <c r="H60" s="9" t="n">
        <v>1</v>
      </c>
      <c r="I60" s="6" t="n">
        <f aca="false">IF(COUNTIF(Runs!$A$2:$A$61,A60)&gt;0,1,0)</f>
        <v>1</v>
      </c>
      <c r="J60" s="6" t="str">
        <f aca="false">IF(AND(COUNTIFS($B$2:$B$65,B60,$I$2:$I$65,1)=1,NOT(AND(G60=1,I60=1))),"ok","CHECK")</f>
        <v>ok</v>
      </c>
      <c r="K60" s="2"/>
      <c r="L60" s="2"/>
      <c r="M60" s="2"/>
      <c r="N60" s="2"/>
      <c r="O60" s="2"/>
      <c r="P60" s="2"/>
      <c r="Q60" s="2"/>
      <c r="R60" s="2"/>
      <c r="S60" s="2"/>
      <c r="T60" s="2"/>
      <c r="U60" s="2"/>
      <c r="V60" s="2"/>
    </row>
    <row r="61" customFormat="false" ht="15" hidden="false" customHeight="false" outlineLevel="0" collapsed="false">
      <c r="A61" s="9" t="s">
        <v>252</v>
      </c>
      <c r="B61" s="9" t="s">
        <v>326</v>
      </c>
      <c r="C61" s="9" t="s">
        <v>156</v>
      </c>
      <c r="D61" s="9" t="s">
        <v>115</v>
      </c>
      <c r="E61" s="9" t="n">
        <v>1</v>
      </c>
      <c r="F61" s="9" t="s">
        <v>297</v>
      </c>
      <c r="G61" s="6" t="n">
        <f aca="false">IF(OR(E61&lt;&gt;0,F61="api_error"),1,0)</f>
        <v>1</v>
      </c>
      <c r="H61" s="9" t="n">
        <v>1</v>
      </c>
      <c r="I61" s="6" t="n">
        <f aca="false">IF(COUNTIF(Runs!$A$2:$A$61,A61)&gt;0,1,0)</f>
        <v>0</v>
      </c>
      <c r="J61" s="6" t="str">
        <f aca="false">IF(AND(COUNTIFS($B$2:$B$65,B61,$I$2:$I$65,1)=1,NOT(AND(G61=1,I61=1))),"ok","CHECK")</f>
        <v>ok</v>
      </c>
      <c r="K61" s="2"/>
      <c r="L61" s="2"/>
      <c r="M61" s="2"/>
      <c r="N61" s="2"/>
      <c r="O61" s="2"/>
      <c r="P61" s="2"/>
      <c r="Q61" s="2"/>
      <c r="R61" s="2"/>
      <c r="S61" s="2"/>
      <c r="T61" s="2"/>
      <c r="U61" s="2"/>
      <c r="V61" s="2"/>
    </row>
    <row r="62" customFormat="false" ht="15" hidden="false" customHeight="false" outlineLevel="0" collapsed="false">
      <c r="A62" s="9" t="s">
        <v>180</v>
      </c>
      <c r="B62" s="9" t="s">
        <v>326</v>
      </c>
      <c r="C62" s="9" t="s">
        <v>156</v>
      </c>
      <c r="D62" s="9" t="s">
        <v>115</v>
      </c>
      <c r="E62" s="9" t="n">
        <v>0</v>
      </c>
      <c r="F62" s="9" t="s">
        <v>108</v>
      </c>
      <c r="G62" s="6" t="n">
        <f aca="false">IF(OR(E62&lt;&gt;0,F62="api_error"),1,0)</f>
        <v>0</v>
      </c>
      <c r="H62" s="9" t="n">
        <v>1</v>
      </c>
      <c r="I62" s="6" t="n">
        <f aca="false">IF(COUNTIF(Runs!$A$2:$A$61,A62)&gt;0,1,0)</f>
        <v>1</v>
      </c>
      <c r="J62" s="6" t="str">
        <f aca="false">IF(AND(COUNTIFS($B$2:$B$65,B62,$I$2:$I$65,1)=1,NOT(AND(G62=1,I62=1))),"ok","CHECK")</f>
        <v>ok</v>
      </c>
      <c r="K62" s="2"/>
      <c r="L62" s="2"/>
      <c r="M62" s="2"/>
      <c r="N62" s="2"/>
      <c r="O62" s="2"/>
      <c r="P62" s="2"/>
      <c r="Q62" s="2"/>
      <c r="R62" s="2"/>
      <c r="S62" s="2"/>
      <c r="T62" s="2"/>
      <c r="U62" s="2"/>
      <c r="V62" s="2"/>
    </row>
    <row r="63" customFormat="false" ht="15" hidden="false" customHeight="false" outlineLevel="0" collapsed="false">
      <c r="A63" s="9" t="s">
        <v>177</v>
      </c>
      <c r="B63" s="9" t="s">
        <v>327</v>
      </c>
      <c r="C63" s="9" t="s">
        <v>156</v>
      </c>
      <c r="D63" s="9" t="s">
        <v>111</v>
      </c>
      <c r="E63" s="9" t="n">
        <v>0</v>
      </c>
      <c r="F63" s="9" t="s">
        <v>108</v>
      </c>
      <c r="G63" s="6" t="n">
        <f aca="false">IF(OR(E63&lt;&gt;0,F63="api_error"),1,0)</f>
        <v>0</v>
      </c>
      <c r="H63" s="9" t="n">
        <v>1</v>
      </c>
      <c r="I63" s="6" t="n">
        <f aca="false">IF(COUNTIF(Runs!$A$2:$A$61,A63)&gt;0,1,0)</f>
        <v>1</v>
      </c>
      <c r="J63" s="6" t="str">
        <f aca="false">IF(AND(COUNTIFS($B$2:$B$65,B63,$I$2:$I$65,1)=1,NOT(AND(G63=1,I63=1))),"ok","CHECK")</f>
        <v>ok</v>
      </c>
      <c r="K63" s="2"/>
      <c r="L63" s="2"/>
      <c r="M63" s="2"/>
      <c r="N63" s="2"/>
      <c r="O63" s="2"/>
      <c r="P63" s="2"/>
      <c r="Q63" s="2"/>
      <c r="R63" s="2"/>
      <c r="S63" s="2"/>
      <c r="T63" s="2"/>
      <c r="U63" s="2"/>
      <c r="V63" s="2"/>
    </row>
    <row r="64" customFormat="false" ht="15" hidden="false" customHeight="false" outlineLevel="0" collapsed="false">
      <c r="A64" s="9" t="s">
        <v>249</v>
      </c>
      <c r="B64" s="9" t="s">
        <v>328</v>
      </c>
      <c r="C64" s="9" t="s">
        <v>156</v>
      </c>
      <c r="D64" s="9" t="s">
        <v>111</v>
      </c>
      <c r="E64" s="9" t="n">
        <v>1</v>
      </c>
      <c r="F64" s="9" t="s">
        <v>297</v>
      </c>
      <c r="G64" s="6" t="n">
        <f aca="false">IF(OR(E64&lt;&gt;0,F64="api_error"),1,0)</f>
        <v>1</v>
      </c>
      <c r="H64" s="9" t="n">
        <v>1</v>
      </c>
      <c r="I64" s="6" t="n">
        <f aca="false">IF(COUNTIF(Runs!$A$2:$A$61,A64)&gt;0,1,0)</f>
        <v>0</v>
      </c>
      <c r="J64" s="6" t="str">
        <f aca="false">IF(AND(COUNTIFS($B$2:$B$65,B64,$I$2:$I$65,1)=1,NOT(AND(G64=1,I64=1))),"ok","CHECK")</f>
        <v>ok</v>
      </c>
      <c r="K64" s="2"/>
      <c r="L64" s="2"/>
      <c r="M64" s="2"/>
      <c r="N64" s="2"/>
      <c r="O64" s="2"/>
      <c r="P64" s="2"/>
      <c r="Q64" s="2"/>
      <c r="R64" s="2"/>
      <c r="S64" s="2"/>
      <c r="T64" s="2"/>
      <c r="U64" s="2"/>
      <c r="V64" s="2"/>
    </row>
    <row r="65" customFormat="false" ht="15" hidden="false" customHeight="false" outlineLevel="0" collapsed="false">
      <c r="A65" s="9" t="s">
        <v>178</v>
      </c>
      <c r="B65" s="9" t="s">
        <v>328</v>
      </c>
      <c r="C65" s="9" t="s">
        <v>156</v>
      </c>
      <c r="D65" s="9" t="s">
        <v>111</v>
      </c>
      <c r="E65" s="9" t="n">
        <v>0</v>
      </c>
      <c r="F65" s="9" t="s">
        <v>108</v>
      </c>
      <c r="G65" s="6" t="n">
        <f aca="false">IF(OR(E65&lt;&gt;0,F65="api_error"),1,0)</f>
        <v>0</v>
      </c>
      <c r="H65" s="9" t="n">
        <v>1</v>
      </c>
      <c r="I65" s="6" t="n">
        <f aca="false">IF(COUNTIF(Runs!$A$2:$A$61,A65)&gt;0,1,0)</f>
        <v>1</v>
      </c>
      <c r="J65" s="6" t="str">
        <f aca="false">IF(AND(COUNTIFS($B$2:$B$65,B65,$I$2:$I$65,1)=1,NOT(AND(G65=1,I65=1))),"ok","CHECK")</f>
        <v>ok</v>
      </c>
      <c r="K65" s="2"/>
      <c r="L65" s="2"/>
      <c r="M65" s="2"/>
      <c r="N65" s="2"/>
      <c r="O65" s="2"/>
      <c r="P65" s="2"/>
      <c r="Q65" s="2"/>
      <c r="R65" s="2"/>
      <c r="S65" s="2"/>
      <c r="T65" s="2"/>
      <c r="U65" s="2"/>
      <c r="V65" s="2"/>
    </row>
  </sheetData>
  <conditionalFormatting sqref="J2:J65">
    <cfRule type="cellIs" priority="2" operator="equal" aboveAverage="0" equalAverage="0" bottom="0" percent="0" rank="0" text="" dxfId="0">
      <formula>"ok"</formula>
    </cfRule>
    <cfRule type="cellIs" priority="3" operator="equal" aboveAverage="0" equalAverage="0" bottom="0" percent="0" rank="0" text="" dxfId="0">
      <formula>"close"</formula>
    </cfRule>
    <cfRule type="cellIs" priority="4" operator="equal" aboveAverage="0" equalAverage="0" bottom="0" percent="0" rank="0" text="" dxfId="1">
      <formula>"CHECK"</formula>
    </cfRule>
  </conditionalFormatting>
  <conditionalFormatting sqref="V3:V7">
    <cfRule type="cellIs" priority="5" operator="equal" aboveAverage="0" equalAverage="0" bottom="0" percent="0" rank="0" text="" dxfId="0">
      <formula>"ok"</formula>
    </cfRule>
    <cfRule type="cellIs" priority="6" operator="equal" aboveAverage="0" equalAverage="0" bottom="0" percent="0" rank="0" text="" dxfId="0">
      <formula>"close"</formula>
    </cfRule>
    <cfRule type="cellIs" priority="7"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7" min="2" style="0" width="11"/>
    <col collapsed="false" customWidth="true" hidden="false" outlineLevel="0" max="8" min="8" style="0" width="30"/>
    <col collapsed="false" customWidth="true" hidden="false" outlineLevel="0" max="52" min="9" style="0" width="11"/>
  </cols>
  <sheetData>
    <row r="1" customFormat="false" ht="75" hidden="false" customHeight="true" outlineLevel="0" collapsed="false">
      <c r="A1" s="7" t="s">
        <v>329</v>
      </c>
      <c r="B1" s="7" t="s">
        <v>53</v>
      </c>
      <c r="C1" s="7" t="s">
        <v>330</v>
      </c>
      <c r="D1" s="7" t="s">
        <v>331</v>
      </c>
      <c r="E1" s="7" t="s">
        <v>332</v>
      </c>
      <c r="F1" s="7" t="s">
        <v>333</v>
      </c>
      <c r="G1" s="7" t="s">
        <v>334</v>
      </c>
      <c r="H1" s="7" t="s">
        <v>335</v>
      </c>
      <c r="I1" s="7" t="s">
        <v>336</v>
      </c>
      <c r="J1" s="7" t="s">
        <v>337</v>
      </c>
      <c r="K1" s="7" t="s">
        <v>338</v>
      </c>
      <c r="L1" s="7" t="s">
        <v>339</v>
      </c>
      <c r="M1" s="7" t="s">
        <v>340</v>
      </c>
      <c r="N1" s="7" t="s">
        <v>341</v>
      </c>
      <c r="O1" s="7" t="s">
        <v>342</v>
      </c>
      <c r="P1" s="7" t="s">
        <v>343</v>
      </c>
      <c r="Q1" s="7" t="s">
        <v>344</v>
      </c>
      <c r="R1" s="7" t="s">
        <v>345</v>
      </c>
      <c r="S1" s="7" t="s">
        <v>346</v>
      </c>
      <c r="T1" s="7" t="s">
        <v>347</v>
      </c>
      <c r="U1" s="7" t="s">
        <v>348</v>
      </c>
      <c r="V1" s="7" t="s">
        <v>349</v>
      </c>
      <c r="W1" s="7" t="s">
        <v>350</v>
      </c>
      <c r="X1" s="7" t="s">
        <v>351</v>
      </c>
      <c r="Y1" s="7" t="s">
        <v>352</v>
      </c>
      <c r="Z1" s="7" t="s">
        <v>353</v>
      </c>
      <c r="AA1" s="7" t="s">
        <v>354</v>
      </c>
      <c r="AB1" s="7" t="s">
        <v>355</v>
      </c>
      <c r="AC1" s="7" t="s">
        <v>356</v>
      </c>
      <c r="AD1" s="7" t="s">
        <v>357</v>
      </c>
      <c r="AE1" s="7" t="s">
        <v>358</v>
      </c>
      <c r="AF1" s="7" t="s">
        <v>359</v>
      </c>
      <c r="AG1" s="7" t="s">
        <v>360</v>
      </c>
      <c r="AH1" s="7" t="s">
        <v>361</v>
      </c>
      <c r="AI1" s="7" t="s">
        <v>362</v>
      </c>
      <c r="AJ1" s="7" t="s">
        <v>363</v>
      </c>
      <c r="AK1" s="7" t="s">
        <v>364</v>
      </c>
      <c r="AL1" s="7" t="s">
        <v>365</v>
      </c>
      <c r="AM1" s="7" t="s">
        <v>366</v>
      </c>
      <c r="AN1" s="7" t="s">
        <v>367</v>
      </c>
      <c r="AO1" s="7" t="s">
        <v>368</v>
      </c>
      <c r="AP1" s="7" t="s">
        <v>369</v>
      </c>
      <c r="AQ1" s="7"/>
      <c r="AR1" s="7" t="s">
        <v>370</v>
      </c>
      <c r="AS1" s="7" t="s">
        <v>371</v>
      </c>
      <c r="AT1" s="7" t="s">
        <v>372</v>
      </c>
      <c r="AU1" s="7" t="s">
        <v>373</v>
      </c>
      <c r="AV1" s="7" t="s">
        <v>374</v>
      </c>
      <c r="AW1" s="7" t="s">
        <v>375</v>
      </c>
      <c r="AX1" s="7" t="s">
        <v>376</v>
      </c>
      <c r="AY1" s="7" t="s">
        <v>377</v>
      </c>
      <c r="AZ1" s="7" t="s">
        <v>378</v>
      </c>
    </row>
    <row r="2" customFormat="false" ht="15" hidden="false" customHeight="false" outlineLevel="0" collapsed="false">
      <c r="A2" s="9" t="s">
        <v>379</v>
      </c>
      <c r="B2" s="9" t="s">
        <v>104</v>
      </c>
      <c r="C2" s="9" t="s">
        <v>380</v>
      </c>
      <c r="D2" s="9" t="s">
        <v>381</v>
      </c>
      <c r="E2" s="9" t="s">
        <v>111</v>
      </c>
      <c r="F2" s="9" t="s">
        <v>115</v>
      </c>
      <c r="G2" s="9" t="s">
        <v>382</v>
      </c>
      <c r="H2" s="9" t="s">
        <v>383</v>
      </c>
      <c r="I2" s="10" t="n">
        <f aca="false">COUNTIFS(Runs!$B$2:$B$61,$B2,Runs!$E$2:$E$61,$E2)</f>
        <v>12</v>
      </c>
      <c r="J2" s="10" t="n">
        <f aca="false">COUNTIFS(Runs!$B$2:$B$61,$B2,Runs!$E$2:$E$61,$F2)</f>
        <v>12</v>
      </c>
      <c r="K2" s="10" t="n">
        <f aca="false">AVERAGEIFS(Runs!$O$2:$O$61,Runs!$B$2:$B$61,$B2,Runs!$E$2:$E$61,$E2)</f>
        <v>0.5</v>
      </c>
      <c r="L2" s="10" t="n">
        <f aca="false">AVERAGEIFS(Runs!$O$2:$O$61,Runs!$B$2:$B$61,$B2,Runs!$E$2:$E$61,$F2)</f>
        <v>0.166666666666667</v>
      </c>
      <c r="M2" s="10" t="n">
        <f aca="false">L2-K2</f>
        <v>-0.333333333333333</v>
      </c>
      <c r="N2" s="11" t="n">
        <v>12</v>
      </c>
      <c r="O2" s="11" t="n">
        <v>12</v>
      </c>
      <c r="P2" s="11" t="n">
        <v>0.5</v>
      </c>
      <c r="Q2" s="11" t="n">
        <v>0.166667</v>
      </c>
      <c r="R2" s="11" t="n">
        <v>-0.333333</v>
      </c>
      <c r="S2" s="6" t="str">
        <f aca="false">IF(AND(I2=N2,J2=O2,ABS(K2-P2)&lt;=Settings!$B$9*MAX(1,ABS(P2)),ABS(L2-Q2)&lt;=Settings!$B$9*MAX(1,ABS(Q2)),ABS(M2-R2)&lt;=Settings!$B$9*MAX(1,ABS(R2))),"ok","CHECK")</f>
        <v>ok</v>
      </c>
      <c r="T2" s="9" t="s">
        <v>384</v>
      </c>
      <c r="U2" s="10" t="n">
        <f aca="false">(L2-K2)-SQRT((L2-AT2)^2+(AS2-K2)^2)</f>
        <v>-0.607106883237848</v>
      </c>
      <c r="V2" s="10" t="n">
        <f aca="false">(L2-K2)+SQRT((AU2-L2)^2+(K2-AR2)^2)</f>
        <v>0.0405507559533594</v>
      </c>
      <c r="W2" s="11" t="n">
        <v>-0.607107</v>
      </c>
      <c r="X2" s="11" t="n">
        <v>0.0405508</v>
      </c>
      <c r="Y2" s="10" t="n">
        <f aca="false">(L2-K2)-SQRT((L2-AX2)^2+(AW2-K2)^2)</f>
        <v>-0.57431104333718</v>
      </c>
      <c r="Z2" s="10" t="n">
        <f aca="false">(L2-K2)+SQRT((AY2-L2)^2+(K2-AV2)^2)</f>
        <v>-0.0169944902399588</v>
      </c>
      <c r="AA2" s="11" t="n">
        <v>-0.574311</v>
      </c>
      <c r="AB2" s="11" t="n">
        <v>-0.0169945</v>
      </c>
      <c r="AC2" s="6" t="str">
        <f aca="false">IF(AND(ABS(U2-W2)&lt;=Settings!$B$9*MAX(1,ABS(W2)),ABS(V2-X2)&lt;=Settings!$B$9*MAX(1,ABS(X2)),ABS(Y2-AA2)&lt;=Settings!$B$9*MAX(1,ABS(AA2)),ABS(Z2-AB2)&lt;=Settings!$B$9*MAX(1,ABS(AB2))),"ok","CHECK")</f>
        <v>ok</v>
      </c>
      <c r="AD2" s="11" t="n">
        <v>0.185381</v>
      </c>
      <c r="AE2" s="11" t="n">
        <v>0.1875</v>
      </c>
      <c r="AF2" s="9" t="n">
        <v>46656</v>
      </c>
      <c r="AG2" s="6" t="str">
        <f aca="false">IF(ABS(AD2-AE2)&lt;=3*SQRT(AE2*(1-AE2)/Settings!$B$6)+1/(Settings!$B$6+1),"ok","CHECK")</f>
        <v>ok</v>
      </c>
      <c r="AH2" s="10" t="n">
        <f aca="false">MIN(1,IF(AD2=MIN($AD$2,$AD$3,$AD$4),3*MIN($AD$2,$AD$3,$AD$4),IF(AD2&lt;MAX($AD$2,$AD$3,$AD$4),MAX(3*MIN($AD$2,$AD$3,$AD$4),2*AD2),MAX(3*MIN($AD$2,$AD$3,$AD$4),2*($AD$2+$AD$3+$AD$4-MIN($AD$2,$AD$3,$AD$4)-MAX($AD$2,$AD$3,$AD$4)),MAX($AD$2,$AD$3,$AD$4)))))</f>
        <v>0.185381</v>
      </c>
      <c r="AI2" s="11" t="n">
        <v>0.185381</v>
      </c>
      <c r="AJ2" s="6" t="str">
        <f aca="false">IF(ABS(AH2-AI2)&lt;=Settings!$B$9*MAX(1,ABS(AI2)),"ok","CHECK")</f>
        <v>ok</v>
      </c>
      <c r="AK2" s="6" t="str">
        <f aca="false">IF(AH2&lt;Settings!$B$2,"different",IF(AND(Y2&gt;-Settings!$B$3,Z2&lt;Settings!$B$3),"equivalent","undetermined"))</f>
        <v>undetermined</v>
      </c>
      <c r="AL2" s="9" t="s">
        <v>385</v>
      </c>
      <c r="AM2" s="6" t="str">
        <f aca="false">IF(AK2=AL2,"ok","CHECK")</f>
        <v>ok</v>
      </c>
      <c r="AN2" s="6" t="n">
        <f aca="false">IF(AK2="different","",MAX(ABS(AA2),ABS(AB2)))</f>
        <v>0.574311</v>
      </c>
      <c r="AO2" s="11" t="n">
        <v>0.574311</v>
      </c>
      <c r="AP2" s="6" t="str">
        <f aca="false">IF(IF(AND(ISNUMBER(AN2),ISNUMBER(AO2)),ABS(N(AN2)-N(AO2))&lt;=Settings!$B$9*MAX(1,ABS(N(AO2))),AND(AN2="",AO2="")),"ok","CHECK")</f>
        <v>ok</v>
      </c>
      <c r="AQ2" s="2"/>
      <c r="AR2" s="10" t="n">
        <f aca="false">MAX(0,(K2+Settings!$B$7^2/(2*I2))/(1+Settings!$B$7^2/I2)-Settings!$B$7*SQRT(K2*(1-K2)/I2+Settings!$B$7^2/(4*I2^2))/(1+Settings!$B$7^2/I2))</f>
        <v>0.253781597633706</v>
      </c>
      <c r="AS2" s="10" t="n">
        <f aca="false">MIN(1,(K2+Settings!$B$7^2/(2*I2))/(1+Settings!$B$7^2/I2)+Settings!$B$7*SQRT(K2*(1-K2)/I2+Settings!$B$7^2/(4*I2^2))/(1+Settings!$B$7^2/I2))</f>
        <v>0.746218402366294</v>
      </c>
      <c r="AT2" s="10" t="n">
        <f aca="false">MAX(0,(L2+Settings!$B$7^2/(2*J2))/(1+Settings!$B$7^2/J2)-Settings!$B$7*SQRT(L2*(1-L2)/J2+Settings!$B$7^2/(4*J2^2))/(1+Settings!$B$7^2/J2))</f>
        <v>0.0469651421838538</v>
      </c>
      <c r="AU2" s="10" t="n">
        <f aca="false">MIN(1,(L2+Settings!$B$7^2/(2*J2))/(1+Settings!$B$7^2/J2)+Settings!$B$7*SQRT(L2*(1-L2)/J2+Settings!$B$7^2/(4*J2^2))/(1+Settings!$B$7^2/J2))</f>
        <v>0.448030862252973</v>
      </c>
      <c r="AV2" s="10" t="n">
        <f aca="false">MAX(0,(K2+Settings!$B$8^2/(2*I2))/(1+Settings!$B$8^2/I2)-Settings!$B$8*SQRT(K2*(1-K2)/I2+Settings!$B$8^2/(4*I2^2))/(1+Settings!$B$8^2/I2))</f>
        <v>0.285534854377525</v>
      </c>
      <c r="AW2" s="10" t="n">
        <f aca="false">MIN(1,(K2+Settings!$B$8^2/(2*I2))/(1+Settings!$B$8^2/I2)+Settings!$B$8*SQRT(K2*(1-K2)/I2+Settings!$B$8^2/(4*I2^2))/(1+Settings!$B$8^2/I2))</f>
        <v>0.714465145622475</v>
      </c>
      <c r="AX2" s="10" t="n">
        <f aca="false">MAX(0,(L2+Settings!$B$8^2/(2*J2))/(1+Settings!$B$8^2/J2)-Settings!$B$8*SQRT(L2*(1-L2)/J2+Settings!$B$8^2/(4*J2^2))/(1+Settings!$B$8^2/J2))</f>
        <v>0.0567805527494444</v>
      </c>
      <c r="AY2" s="10" t="n">
        <f aca="false">MIN(1,(L2+Settings!$B$8^2/(2*J2))/(1+Settings!$B$8^2/J2)+Settings!$B$8*SQRT(L2*(1-L2)/J2+Settings!$B$8^2/(4*J2^2))/(1+Settings!$B$8^2/J2))</f>
        <v>0.39920691041554</v>
      </c>
      <c r="AZ2" s="2"/>
    </row>
    <row r="3" customFormat="false" ht="15" hidden="false" customHeight="false" outlineLevel="0" collapsed="false">
      <c r="A3" s="9" t="s">
        <v>379</v>
      </c>
      <c r="B3" s="9" t="s">
        <v>104</v>
      </c>
      <c r="C3" s="9" t="s">
        <v>380</v>
      </c>
      <c r="D3" s="9" t="s">
        <v>59</v>
      </c>
      <c r="E3" s="9" t="s">
        <v>111</v>
      </c>
      <c r="F3" s="9" t="s">
        <v>115</v>
      </c>
      <c r="G3" s="9" t="s">
        <v>382</v>
      </c>
      <c r="H3" s="9" t="s">
        <v>386</v>
      </c>
      <c r="I3" s="10" t="n">
        <f aca="false">COUNTIFS(Runs!$B$2:$B$61,$B3,Runs!$E$2:$E$61,$E3,Runs!$AK$2:$AK$61,1)</f>
        <v>6</v>
      </c>
      <c r="J3" s="10" t="n">
        <f aca="false">COUNTIFS(Runs!$B$2:$B$61,$B3,Runs!$E$2:$E$61,$F3,Runs!$AK$2:$AK$61,1)</f>
        <v>10</v>
      </c>
      <c r="K3" s="10" t="n">
        <f aca="false">AVERAGEIFS(Runs!$P$2:$P$61,Runs!$B$2:$B$61,$B3,Runs!$E$2:$E$61,$E3,Runs!$AK$2:$AK$61,1)</f>
        <v>4.32271009692886</v>
      </c>
      <c r="L3" s="10" t="n">
        <f aca="false">AVERAGEIFS(Runs!$P$2:$P$61,Runs!$B$2:$B$61,$B3,Runs!$E$2:$E$61,$F3,Runs!$AK$2:$AK$61,1)</f>
        <v>3.60803238554374</v>
      </c>
      <c r="M3" s="10" t="n">
        <f aca="false">EXP(L3-K3)</f>
        <v>0.489349798253365</v>
      </c>
      <c r="N3" s="11" t="n">
        <v>6</v>
      </c>
      <c r="O3" s="11" t="n">
        <v>10</v>
      </c>
      <c r="P3" s="11" t="n">
        <v>4.32271</v>
      </c>
      <c r="Q3" s="11" t="n">
        <v>3.60803</v>
      </c>
      <c r="R3" s="11" t="n">
        <v>0.48935</v>
      </c>
      <c r="S3" s="6" t="str">
        <f aca="false">IF(AND(I3=N3,J3=O3,ABS(K3-P3)&lt;=Settings!$B$9*MAX(1,ABS(P3)),ABS(L3-Q3)&lt;=Settings!$B$9*MAX(1,ABS(Q3)),ABS(M3-R3)&lt;=Settings!$B$9*MAX(1,ABS(R3))),"ok","CHECK")</f>
        <v>ok</v>
      </c>
      <c r="T3" s="9" t="s">
        <v>387</v>
      </c>
      <c r="U3" s="10" t="n">
        <f aca="false">EXP((L3-K3)-Settings!$B$7*AZ3)</f>
        <v>0.300423306372092</v>
      </c>
      <c r="V3" s="10" t="n">
        <f aca="false">EXP((L3-K3)+Settings!$B$7*AZ3)</f>
        <v>0.797086044829091</v>
      </c>
      <c r="W3" s="11" t="n">
        <v>0.32062</v>
      </c>
      <c r="X3" s="11" t="n">
        <v>0.746876</v>
      </c>
      <c r="Y3" s="10" t="n">
        <f aca="false">EXP((L3-K3)-Settings!$B$8*AZ3)</f>
        <v>0.324937063538639</v>
      </c>
      <c r="Z3" s="10" t="n">
        <f aca="false">EXP((L3-K3)+Settings!$B$8*AZ3)</f>
        <v>0.736952634589604</v>
      </c>
      <c r="AA3" s="11" t="n">
        <v>0.32628</v>
      </c>
      <c r="AB3" s="11" t="n">
        <v>0.733919</v>
      </c>
      <c r="AC3" s="6" t="str">
        <f aca="false">IF(AND(ABS(U3-W3)&lt;=Settings!$B$10*(X3-W3),ABS(V3-X3)&lt;=Settings!$B$10*(X3-W3),ABS(Y3-AA3)&lt;=Settings!$B$10*(AB3-AA3),ABS(Z3-AB3)&lt;=Settings!$B$10*(AB3-AA3)),"close","not close")</f>
        <v>close</v>
      </c>
      <c r="AD3" s="11" t="n">
        <v>0.0329967</v>
      </c>
      <c r="AE3" s="11" t="n">
        <v>0.037037</v>
      </c>
      <c r="AF3" s="9" t="n">
        <v>324</v>
      </c>
      <c r="AG3" s="6" t="str">
        <f aca="false">IF(ABS(AD3-AE3)&lt;=3*SQRT(AE3*(1-AE3)/Settings!$B$6)+1/(Settings!$B$6+1),"ok","CHECK")</f>
        <v>ok</v>
      </c>
      <c r="AH3" s="10" t="n">
        <f aca="false">MIN(1,IF(AD3=MIN($AD$2,$AD$3,$AD$4),3*MIN($AD$2,$AD$3,$AD$4),IF(AD3&lt;MAX($AD$2,$AD$3,$AD$4),MAX(3*MIN($AD$2,$AD$3,$AD$4),2*AD3),MAX(3*MIN($AD$2,$AD$3,$AD$4),2*($AD$2+$AD$3+$AD$4-MIN($AD$2,$AD$3,$AD$4)-MAX($AD$2,$AD$3,$AD$4)),MAX($AD$2,$AD$3,$AD$4)))))</f>
        <v>0.0989901</v>
      </c>
      <c r="AI3" s="11" t="n">
        <v>0.0989901</v>
      </c>
      <c r="AJ3" s="6" t="str">
        <f aca="false">IF(ABS(AH3-AI3)&lt;=Settings!$B$9*MAX(1,ABS(AI3)),"ok","CHECK")</f>
        <v>ok</v>
      </c>
      <c r="AK3" s="6" t="str">
        <f aca="false">IF(AH3&lt;Settings!$B$2,"different",IF(AND(AA3&gt;Settings!$B$4,AB3&lt;Settings!$B$5),"equivalent","undetermined"))</f>
        <v>undetermined</v>
      </c>
      <c r="AL3" s="9" t="s">
        <v>385</v>
      </c>
      <c r="AM3" s="6" t="str">
        <f aca="false">IF(AK3=AL3,"ok","CHECK")</f>
        <v>ok</v>
      </c>
      <c r="AN3" s="6" t="n">
        <f aca="false">IF(AK3="different","",MAX(AB3,1/AA3))</f>
        <v>3.06485227412039</v>
      </c>
      <c r="AO3" s="11" t="n">
        <v>3.06485</v>
      </c>
      <c r="AP3" s="6" t="str">
        <f aca="false">IF(IF(AND(ISNUMBER(AN3),ISNUMBER(AO3)),ABS(N(AN3)-N(AO3))&lt;=Settings!$B$9*MAX(1,ABS(N(AO3))),AND(AN3="",AO3="")),"ok","CHECK")</f>
        <v>ok</v>
      </c>
      <c r="AQ3" s="2"/>
      <c r="AR3" s="2"/>
      <c r="AS3" s="2"/>
      <c r="AT3" s="2"/>
      <c r="AU3" s="2"/>
      <c r="AV3" s="2"/>
      <c r="AW3" s="2"/>
      <c r="AX3" s="2"/>
      <c r="AY3" s="2"/>
      <c r="AZ3" s="10" t="n">
        <f aca="false">SQRT(SUMIFS(Runs!$AN$2:$AN$61,Runs!$B$2:$B$61,$B3,Runs!$E$2:$E$61,$E3)/I3^2+SUMIFS(Runs!$AN$2:$AN$61,Runs!$B$2:$B$61,$B3,Runs!$E$2:$E$61,$F3)/J3^2)</f>
        <v>0.248925526236151</v>
      </c>
    </row>
    <row r="4" customFormat="false" ht="15" hidden="false" customHeight="false" outlineLevel="0" collapsed="false">
      <c r="A4" s="9" t="s">
        <v>379</v>
      </c>
      <c r="B4" s="9" t="s">
        <v>104</v>
      </c>
      <c r="C4" s="9" t="s">
        <v>380</v>
      </c>
      <c r="D4" s="9" t="s">
        <v>69</v>
      </c>
      <c r="E4" s="9" t="s">
        <v>111</v>
      </c>
      <c r="F4" s="9" t="s">
        <v>115</v>
      </c>
      <c r="G4" s="9" t="s">
        <v>382</v>
      </c>
      <c r="H4" s="9" t="s">
        <v>388</v>
      </c>
      <c r="I4" s="10" t="n">
        <f aca="false">COUNTIFS(Runs!$B$2:$B$61,$B4,Runs!$E$2:$E$61,$E4,Runs!$AO$2:$AO$61,1)</f>
        <v>12</v>
      </c>
      <c r="J4" s="10" t="n">
        <f aca="false">COUNTIFS(Runs!$B$2:$B$61,$B4,Runs!$E$2:$E$61,$F4,Runs!$AO$2:$AO$61,1)</f>
        <v>12</v>
      </c>
      <c r="K4" s="10" t="n">
        <f aca="false">AVERAGEIFS(Runs!$R$2:$R$61,Runs!$B$2:$B$61,$B4,Runs!$E$2:$E$61,$E4,Runs!$AO$2:$AO$61,1)</f>
        <v>48.475</v>
      </c>
      <c r="L4" s="10" t="n">
        <f aca="false">AVERAGEIFS(Runs!$R$2:$R$61,Runs!$B$2:$B$61,$B4,Runs!$E$2:$E$61,$F4,Runs!$AO$2:$AO$61,1)</f>
        <v>83.6558333333333</v>
      </c>
      <c r="M4" s="10" t="n">
        <f aca="false">L4-K4</f>
        <v>35.1808333333333</v>
      </c>
      <c r="N4" s="11" t="n">
        <v>12</v>
      </c>
      <c r="O4" s="11" t="n">
        <v>12</v>
      </c>
      <c r="P4" s="11" t="n">
        <v>48.475</v>
      </c>
      <c r="Q4" s="11" t="n">
        <v>83.6558</v>
      </c>
      <c r="R4" s="11" t="n">
        <v>35.1808</v>
      </c>
      <c r="S4" s="6" t="str">
        <f aca="false">IF(AND(I4=N4,J4=O4,ABS(K4-P4)&lt;=Settings!$B$9*MAX(1,ABS(P4)),ABS(L4-Q4)&lt;=Settings!$B$9*MAX(1,ABS(Q4)),ABS(M4-R4)&lt;=Settings!$B$9*MAX(1,ABS(R4))),"ok","CHECK")</f>
        <v>ok</v>
      </c>
      <c r="T4" s="9" t="s">
        <v>387</v>
      </c>
      <c r="U4" s="10" t="n">
        <f aca="false">(L4-K4)-Settings!$B$7*AZ4</f>
        <v>10.4256353083259</v>
      </c>
      <c r="V4" s="10" t="n">
        <f aca="false">(L4-K4)+Settings!$B$7*AZ4</f>
        <v>59.9360313583408</v>
      </c>
      <c r="W4" s="11" t="n">
        <v>11.9143</v>
      </c>
      <c r="X4" s="11" t="n">
        <v>58.6804</v>
      </c>
      <c r="Y4" s="10" t="n">
        <f aca="false">(L4-K4)-Settings!$B$8*AZ4</f>
        <v>14.4056162484689</v>
      </c>
      <c r="Z4" s="10" t="n">
        <f aca="false">(L4-K4)+Settings!$B$8*AZ4</f>
        <v>55.9560504181977</v>
      </c>
      <c r="AA4" s="11" t="n">
        <v>14.168</v>
      </c>
      <c r="AB4" s="11" t="n">
        <v>56.2201</v>
      </c>
      <c r="AC4" s="6" t="str">
        <f aca="false">IF(AND(ABS(U4-W4)&lt;=Settings!$B$10*(X4-W4),ABS(V4-X4)&lt;=Settings!$B$10*(X4-W4),ABS(Y4-AA4)&lt;=Settings!$B$10*(AB4-AA4),ABS(Z4-AB4)&lt;=Settings!$B$10*(AB4-AA4)),"close","not close")</f>
        <v>close</v>
      </c>
      <c r="AD4" s="11" t="n">
        <v>0.0386961</v>
      </c>
      <c r="AE4" s="11" t="n">
        <v>0.0361368</v>
      </c>
      <c r="AF4" s="9" t="n">
        <v>46656</v>
      </c>
      <c r="AG4" s="6" t="str">
        <f aca="false">IF(ABS(AD4-AE4)&lt;=3*SQRT(AE4*(1-AE4)/Settings!$B$6)+1/(Settings!$B$6+1),"ok","CHECK")</f>
        <v>ok</v>
      </c>
      <c r="AH4" s="10" t="n">
        <f aca="false">MIN(1,IF(AD4=MIN($AD$2,$AD$3,$AD$4),3*MIN($AD$2,$AD$3,$AD$4),IF(AD4&lt;MAX($AD$2,$AD$3,$AD$4),MAX(3*MIN($AD$2,$AD$3,$AD$4),2*AD4),MAX(3*MIN($AD$2,$AD$3,$AD$4),2*($AD$2+$AD$3+$AD$4-MIN($AD$2,$AD$3,$AD$4)-MAX($AD$2,$AD$3,$AD$4)),MAX($AD$2,$AD$3,$AD$4)))))</f>
        <v>0.0989901</v>
      </c>
      <c r="AI4" s="11" t="n">
        <v>0.0989901</v>
      </c>
      <c r="AJ4" s="6" t="str">
        <f aca="false">IF(ABS(AH4-AI4)&lt;=Settings!$B$9*MAX(1,ABS(AI4)),"ok","CHECK")</f>
        <v>ok</v>
      </c>
      <c r="AK4" s="6" t="str">
        <f aca="false">IF(AH4&lt;Settings!$B$2,"different","undetermined")</f>
        <v>undetermined</v>
      </c>
      <c r="AL4" s="9" t="s">
        <v>385</v>
      </c>
      <c r="AM4" s="6" t="str">
        <f aca="false">IF(AK4=AL4,"ok","CHECK")</f>
        <v>ok</v>
      </c>
      <c r="AN4" s="6" t="n">
        <f aca="false">IF(AK4="different","",MAX(ABS(AA4),ABS(AB4)))</f>
        <v>56.2201</v>
      </c>
      <c r="AO4" s="11" t="n">
        <v>56.2201</v>
      </c>
      <c r="AP4" s="6" t="str">
        <f aca="false">IF(IF(AND(ISNUMBER(AN4),ISNUMBER(AO4)),ABS(N(AN4)-N(AO4))&lt;=Settings!$B$9*MAX(1,ABS(N(AO4))),AND(AN4="",AO4="")),"ok","CHECK")</f>
        <v>ok</v>
      </c>
      <c r="AQ4" s="2"/>
      <c r="AR4" s="2"/>
      <c r="AS4" s="2"/>
      <c r="AT4" s="2"/>
      <c r="AU4" s="2"/>
      <c r="AV4" s="2"/>
      <c r="AW4" s="2"/>
      <c r="AX4" s="2"/>
      <c r="AY4" s="2"/>
      <c r="AZ4" s="10" t="n">
        <f aca="false">SQRT(SUMIFS(Runs!$AR$2:$AR$61,Runs!$B$2:$B$61,$B4,Runs!$E$2:$E$61,$E4)/I4^2+SUMIFS(Runs!$AR$2:$AR$61,Runs!$B$2:$B$61,$B4,Runs!$E$2:$E$61,$F4)/J4^2)</f>
        <v>12.6304351611934</v>
      </c>
    </row>
    <row r="5" customFormat="false" ht="15" hidden="false" customHeight="false" outlineLevel="0" collapsed="false">
      <c r="A5" s="9" t="s">
        <v>379</v>
      </c>
      <c r="B5" s="9" t="s">
        <v>104</v>
      </c>
      <c r="C5" s="9" t="s">
        <v>389</v>
      </c>
      <c r="D5" s="9" t="s">
        <v>381</v>
      </c>
      <c r="E5" s="9" t="s">
        <v>107</v>
      </c>
      <c r="F5" s="9" t="s">
        <v>111</v>
      </c>
      <c r="G5" s="9" t="s">
        <v>382</v>
      </c>
      <c r="H5" s="9" t="s">
        <v>383</v>
      </c>
      <c r="I5" s="10" t="n">
        <f aca="false">COUNTIFS(Runs!$B$2:$B$61,$B5,Runs!$E$2:$E$61,$E5)</f>
        <v>12</v>
      </c>
      <c r="J5" s="10" t="n">
        <f aca="false">COUNTIFS(Runs!$B$2:$B$61,$B5,Runs!$E$2:$E$61,$F5)</f>
        <v>12</v>
      </c>
      <c r="K5" s="10" t="n">
        <f aca="false">AVERAGEIFS(Runs!$O$2:$O$61,Runs!$B$2:$B$61,$B5,Runs!$E$2:$E$61,$E5)</f>
        <v>0.166666666666667</v>
      </c>
      <c r="L5" s="10" t="n">
        <f aca="false">AVERAGEIFS(Runs!$O$2:$O$61,Runs!$B$2:$B$61,$B5,Runs!$E$2:$E$61,$F5)</f>
        <v>0.5</v>
      </c>
      <c r="M5" s="10" t="n">
        <f aca="false">L5-K5</f>
        <v>0.333333333333333</v>
      </c>
      <c r="N5" s="11" t="n">
        <v>12</v>
      </c>
      <c r="O5" s="11" t="n">
        <v>12</v>
      </c>
      <c r="P5" s="11" t="n">
        <v>0.166667</v>
      </c>
      <c r="Q5" s="11" t="n">
        <v>0.5</v>
      </c>
      <c r="R5" s="11" t="n">
        <v>0.333333</v>
      </c>
      <c r="S5" s="6" t="str">
        <f aca="false">IF(AND(I5=N5,J5=O5,ABS(K5-P5)&lt;=Settings!$B$9*MAX(1,ABS(P5)),ABS(L5-Q5)&lt;=Settings!$B$9*MAX(1,ABS(Q5)),ABS(M5-R5)&lt;=Settings!$B$9*MAX(1,ABS(R5))),"ok","CHECK")</f>
        <v>ok</v>
      </c>
      <c r="T5" s="9" t="s">
        <v>384</v>
      </c>
      <c r="U5" s="10" t="n">
        <f aca="false">(L5-K5)-SQRT((L5-AT5)^2+(AS5-K5)^2)</f>
        <v>-0.0405507559533594</v>
      </c>
      <c r="V5" s="10" t="n">
        <f aca="false">(L5-K5)+SQRT((AU5-L5)^2+(K5-AR5)^2)</f>
        <v>0.607106883237848</v>
      </c>
      <c r="W5" s="11" t="n">
        <v>-0.0405508</v>
      </c>
      <c r="X5" s="11" t="n">
        <v>0.607107</v>
      </c>
      <c r="Y5" s="10" t="n">
        <f aca="false">(L5-K5)-SQRT((L5-AX5)^2+(AW5-K5)^2)</f>
        <v>0.0169944902399588</v>
      </c>
      <c r="Z5" s="10" t="n">
        <f aca="false">(L5-K5)+SQRT((AY5-L5)^2+(K5-AV5)^2)</f>
        <v>0.57431104333718</v>
      </c>
      <c r="AA5" s="11" t="n">
        <v>0.0169945</v>
      </c>
      <c r="AB5" s="11" t="n">
        <v>0.574311</v>
      </c>
      <c r="AC5" s="6" t="str">
        <f aca="false">IF(AND(ABS(U5-W5)&lt;=Settings!$B$9*MAX(1,ABS(W5)),ABS(V5-X5)&lt;=Settings!$B$9*MAX(1,ABS(X5)),ABS(Y5-AA5)&lt;=Settings!$B$9*MAX(1,ABS(AA5)),ABS(Z5-AB5)&lt;=Settings!$B$9*MAX(1,ABS(AB5))),"ok","CHECK")</f>
        <v>ok</v>
      </c>
      <c r="AD5" s="11" t="n">
        <v>0.219078</v>
      </c>
      <c r="AE5" s="11" t="n">
        <v>0.21875</v>
      </c>
      <c r="AF5" s="9" t="n">
        <v>46656</v>
      </c>
      <c r="AG5" s="6" t="str">
        <f aca="false">IF(ABS(AD5-AE5)&lt;=3*SQRT(AE5*(1-AE5)/Settings!$B$6)+1/(Settings!$B$6+1),"ok","CHECK")</f>
        <v>ok</v>
      </c>
      <c r="AH5" s="10" t="n">
        <f aca="false">MIN(1,IF(AD5=MIN($AD$5,$AD$6,$AD$7),3*MIN($AD$5,$AD$6,$AD$7),IF(AD5&lt;MAX($AD$5,$AD$6,$AD$7),MAX(3*MIN($AD$5,$AD$6,$AD$7),2*AD5),MAX(3*MIN($AD$5,$AD$6,$AD$7),2*($AD$5+$AD$6+$AD$7-MIN($AD$5,$AD$6,$AD$7)-MAX($AD$5,$AD$6,$AD$7)),MAX($AD$5,$AD$6,$AD$7)))))</f>
        <v>0.657234</v>
      </c>
      <c r="AI5" s="11" t="n">
        <v>0.657234</v>
      </c>
      <c r="AJ5" s="6" t="str">
        <f aca="false">IF(ABS(AH5-AI5)&lt;=Settings!$B$9*MAX(1,ABS(AI5)),"ok","CHECK")</f>
        <v>ok</v>
      </c>
      <c r="AK5" s="6" t="str">
        <f aca="false">IF(AH5&lt;Settings!$B$2,"different",IF(AND(Y5&gt;-Settings!$B$3,Z5&lt;Settings!$B$3),"equivalent","undetermined"))</f>
        <v>undetermined</v>
      </c>
      <c r="AL5" s="9" t="s">
        <v>385</v>
      </c>
      <c r="AM5" s="6" t="str">
        <f aca="false">IF(AK5=AL5,"ok","CHECK")</f>
        <v>ok</v>
      </c>
      <c r="AN5" s="6" t="n">
        <f aca="false">IF(AK5="different","",MAX(ABS(AA5),ABS(AB5)))</f>
        <v>0.574311</v>
      </c>
      <c r="AO5" s="11" t="n">
        <v>0.574311</v>
      </c>
      <c r="AP5" s="6" t="str">
        <f aca="false">IF(IF(AND(ISNUMBER(AN5),ISNUMBER(AO5)),ABS(N(AN5)-N(AO5))&lt;=Settings!$B$9*MAX(1,ABS(N(AO5))),AND(AN5="",AO5="")),"ok","CHECK")</f>
        <v>ok</v>
      </c>
      <c r="AQ5" s="2"/>
      <c r="AR5" s="10" t="n">
        <f aca="false">MAX(0,(K5+Settings!$B$7^2/(2*I5))/(1+Settings!$B$7^2/I5)-Settings!$B$7*SQRT(K5*(1-K5)/I5+Settings!$B$7^2/(4*I5^2))/(1+Settings!$B$7^2/I5))</f>
        <v>0.0469651421838538</v>
      </c>
      <c r="AS5" s="10" t="n">
        <f aca="false">MIN(1,(K5+Settings!$B$7^2/(2*I5))/(1+Settings!$B$7^2/I5)+Settings!$B$7*SQRT(K5*(1-K5)/I5+Settings!$B$7^2/(4*I5^2))/(1+Settings!$B$7^2/I5))</f>
        <v>0.448030862252973</v>
      </c>
      <c r="AT5" s="10" t="n">
        <f aca="false">MAX(0,(L5+Settings!$B$7^2/(2*J5))/(1+Settings!$B$7^2/J5)-Settings!$B$7*SQRT(L5*(1-L5)/J5+Settings!$B$7^2/(4*J5^2))/(1+Settings!$B$7^2/J5))</f>
        <v>0.253781597633706</v>
      </c>
      <c r="AU5" s="10" t="n">
        <f aca="false">MIN(1,(L5+Settings!$B$7^2/(2*J5))/(1+Settings!$B$7^2/J5)+Settings!$B$7*SQRT(L5*(1-L5)/J5+Settings!$B$7^2/(4*J5^2))/(1+Settings!$B$7^2/J5))</f>
        <v>0.746218402366294</v>
      </c>
      <c r="AV5" s="10" t="n">
        <f aca="false">MAX(0,(K5+Settings!$B$8^2/(2*I5))/(1+Settings!$B$8^2/I5)-Settings!$B$8*SQRT(K5*(1-K5)/I5+Settings!$B$8^2/(4*I5^2))/(1+Settings!$B$8^2/I5))</f>
        <v>0.0567805527494444</v>
      </c>
      <c r="AW5" s="10" t="n">
        <f aca="false">MIN(1,(K5+Settings!$B$8^2/(2*I5))/(1+Settings!$B$8^2/I5)+Settings!$B$8*SQRT(K5*(1-K5)/I5+Settings!$B$8^2/(4*I5^2))/(1+Settings!$B$8^2/I5))</f>
        <v>0.39920691041554</v>
      </c>
      <c r="AX5" s="10" t="n">
        <f aca="false">MAX(0,(L5+Settings!$B$8^2/(2*J5))/(1+Settings!$B$8^2/J5)-Settings!$B$8*SQRT(L5*(1-L5)/J5+Settings!$B$8^2/(4*J5^2))/(1+Settings!$B$8^2/J5))</f>
        <v>0.285534854377525</v>
      </c>
      <c r="AY5" s="10" t="n">
        <f aca="false">MIN(1,(L5+Settings!$B$8^2/(2*J5))/(1+Settings!$B$8^2/J5)+Settings!$B$8*SQRT(L5*(1-L5)/J5+Settings!$B$8^2/(4*J5^2))/(1+Settings!$B$8^2/J5))</f>
        <v>0.714465145622475</v>
      </c>
      <c r="AZ5" s="2"/>
    </row>
    <row r="6" customFormat="false" ht="15" hidden="false" customHeight="false" outlineLevel="0" collapsed="false">
      <c r="A6" s="9" t="s">
        <v>379</v>
      </c>
      <c r="B6" s="9" t="s">
        <v>104</v>
      </c>
      <c r="C6" s="9" t="s">
        <v>389</v>
      </c>
      <c r="D6" s="9" t="s">
        <v>59</v>
      </c>
      <c r="E6" s="9" t="s">
        <v>107</v>
      </c>
      <c r="F6" s="9" t="s">
        <v>111</v>
      </c>
      <c r="G6" s="9" t="s">
        <v>382</v>
      </c>
      <c r="H6" s="9" t="s">
        <v>386</v>
      </c>
      <c r="I6" s="10" t="n">
        <f aca="false">COUNTIFS(Runs!$B$2:$B$61,$B6,Runs!$E$2:$E$61,$E6,Runs!$AK$2:$AK$61,1)</f>
        <v>10</v>
      </c>
      <c r="J6" s="10" t="n">
        <f aca="false">COUNTIFS(Runs!$B$2:$B$61,$B6,Runs!$E$2:$E$61,$F6,Runs!$AK$2:$AK$61,1)</f>
        <v>6</v>
      </c>
      <c r="K6" s="10" t="n">
        <f aca="false">AVERAGEIFS(Runs!$P$2:$P$61,Runs!$B$2:$B$61,$B6,Runs!$E$2:$E$61,$E6,Runs!$AK$2:$AK$61,1)</f>
        <v>4.20003089010978</v>
      </c>
      <c r="L6" s="10" t="n">
        <f aca="false">AVERAGEIFS(Runs!$P$2:$P$61,Runs!$B$2:$B$61,$B6,Runs!$E$2:$E$61,$F6,Runs!$AK$2:$AK$61,1)</f>
        <v>4.32271009692886</v>
      </c>
      <c r="M6" s="10" t="n">
        <f aca="false">EXP(L6-K6)</f>
        <v>1.13052169911929</v>
      </c>
      <c r="N6" s="11" t="n">
        <v>10</v>
      </c>
      <c r="O6" s="11" t="n">
        <v>6</v>
      </c>
      <c r="P6" s="11" t="n">
        <v>4.20003</v>
      </c>
      <c r="Q6" s="11" t="n">
        <v>4.32271</v>
      </c>
      <c r="R6" s="11" t="n">
        <v>1.13052</v>
      </c>
      <c r="S6" s="6" t="str">
        <f aca="false">IF(AND(I6=N6,J6=O6,ABS(K6-P6)&lt;=Settings!$B$9*MAX(1,ABS(P6)),ABS(L6-Q6)&lt;=Settings!$B$9*MAX(1,ABS(Q6)),ABS(M6-R6)&lt;=Settings!$B$9*MAX(1,ABS(R6))),"ok","CHECK")</f>
        <v>ok</v>
      </c>
      <c r="T6" s="9" t="s">
        <v>387</v>
      </c>
      <c r="U6" s="10" t="n">
        <f aca="false">EXP((L6-K6)-Settings!$B$7*AZ6)</f>
        <v>0.636813855698798</v>
      </c>
      <c r="V6" s="10" t="n">
        <f aca="false">EXP((L6-K6)+Settings!$B$7*AZ6)</f>
        <v>2.00699042701747</v>
      </c>
      <c r="W6" s="11" t="n">
        <v>0.659517</v>
      </c>
      <c r="X6" s="11" t="n">
        <v>1.9379</v>
      </c>
      <c r="Y6" s="10" t="n">
        <f aca="false">EXP((L6-K6)-Settings!$B$8*AZ6)</f>
        <v>0.698373813673615</v>
      </c>
      <c r="Z6" s="10" t="n">
        <f aca="false">EXP((L6-K6)+Settings!$B$8*AZ6)</f>
        <v>1.83007908824153</v>
      </c>
      <c r="AA6" s="11" t="n">
        <v>0.684148</v>
      </c>
      <c r="AB6" s="11" t="n">
        <v>1.85492</v>
      </c>
      <c r="AC6" s="6" t="str">
        <f aca="false">IF(AND(ABS(U6-W6)&lt;=Settings!$B$10*(X6-W6),ABS(V6-X6)&lt;=Settings!$B$10*(X6-W6),ABS(Y6-AA6)&lt;=Settings!$B$10*(AB6-AA6),ABS(Z6-AB6)&lt;=Settings!$B$10*(AB6-AA6)),"close","not close")</f>
        <v>close</v>
      </c>
      <c r="AD6" s="11" t="n">
        <v>0.680432</v>
      </c>
      <c r="AE6" s="11" t="n">
        <v>0.679012</v>
      </c>
      <c r="AF6" s="9" t="n">
        <v>243</v>
      </c>
      <c r="AG6" s="6" t="str">
        <f aca="false">IF(ABS(AD6-AE6)&lt;=3*SQRT(AE6*(1-AE6)/Settings!$B$6)+1/(Settings!$B$6+1),"ok","CHECK")</f>
        <v>ok</v>
      </c>
      <c r="AH6" s="10" t="n">
        <f aca="false">MIN(1,IF(AD6=MIN($AD$5,$AD$6,$AD$7),3*MIN($AD$5,$AD$6,$AD$7),IF(AD6&lt;MAX($AD$5,$AD$6,$AD$7),MAX(3*MIN($AD$5,$AD$6,$AD$7),2*AD6),MAX(3*MIN($AD$5,$AD$6,$AD$7),2*($AD$5+$AD$6+$AD$7-MIN($AD$5,$AD$6,$AD$7)-MAX($AD$5,$AD$6,$AD$7)),MAX($AD$5,$AD$6,$AD$7)))))</f>
        <v>0.920308</v>
      </c>
      <c r="AI6" s="11" t="n">
        <v>0.920308</v>
      </c>
      <c r="AJ6" s="6" t="str">
        <f aca="false">IF(ABS(AH6-AI6)&lt;=Settings!$B$9*MAX(1,ABS(AI6)),"ok","CHECK")</f>
        <v>ok</v>
      </c>
      <c r="AK6" s="6" t="str">
        <f aca="false">IF(AH6&lt;Settings!$B$2,"different",IF(AND(AA6&gt;Settings!$B$4,AB6&lt;Settings!$B$5),"equivalent","undetermined"))</f>
        <v>undetermined</v>
      </c>
      <c r="AL6" s="9" t="s">
        <v>385</v>
      </c>
      <c r="AM6" s="6" t="str">
        <f aca="false">IF(AK6=AL6,"ok","CHECK")</f>
        <v>ok</v>
      </c>
      <c r="AN6" s="6" t="n">
        <f aca="false">IF(AK6="different","",MAX(AB6,1/AA6))</f>
        <v>1.85492</v>
      </c>
      <c r="AO6" s="11" t="n">
        <v>1.85492</v>
      </c>
      <c r="AP6" s="6" t="str">
        <f aca="false">IF(IF(AND(ISNUMBER(AN6),ISNUMBER(AO6)),ABS(N(AN6)-N(AO6))&lt;=Settings!$B$9*MAX(1,ABS(N(AO6))),AND(AN6="",AO6="")),"ok","CHECK")</f>
        <v>ok</v>
      </c>
      <c r="AQ6" s="2"/>
      <c r="AR6" s="2"/>
      <c r="AS6" s="2"/>
      <c r="AT6" s="2"/>
      <c r="AU6" s="2"/>
      <c r="AV6" s="2"/>
      <c r="AW6" s="2"/>
      <c r="AX6" s="2"/>
      <c r="AY6" s="2"/>
      <c r="AZ6" s="10" t="n">
        <f aca="false">SQRT(SUMIFS(Runs!$AN$2:$AN$61,Runs!$B$2:$B$61,$B6,Runs!$E$2:$E$61,$E6)/I6^2+SUMIFS(Runs!$AN$2:$AN$61,Runs!$B$2:$B$61,$B6,Runs!$E$2:$E$61,$F6)/J6^2)</f>
        <v>0.29284063264125</v>
      </c>
    </row>
    <row r="7" customFormat="false" ht="15" hidden="false" customHeight="false" outlineLevel="0" collapsed="false">
      <c r="A7" s="9" t="s">
        <v>379</v>
      </c>
      <c r="B7" s="9" t="s">
        <v>104</v>
      </c>
      <c r="C7" s="9" t="s">
        <v>389</v>
      </c>
      <c r="D7" s="9" t="s">
        <v>69</v>
      </c>
      <c r="E7" s="9" t="s">
        <v>107</v>
      </c>
      <c r="F7" s="9" t="s">
        <v>111</v>
      </c>
      <c r="G7" s="9" t="s">
        <v>382</v>
      </c>
      <c r="H7" s="9" t="s">
        <v>388</v>
      </c>
      <c r="I7" s="10" t="n">
        <f aca="false">COUNTIFS(Runs!$B$2:$B$61,$B7,Runs!$E$2:$E$61,$E7,Runs!$AO$2:$AO$61,1)</f>
        <v>12</v>
      </c>
      <c r="J7" s="10" t="n">
        <f aca="false">COUNTIFS(Runs!$B$2:$B$61,$B7,Runs!$E$2:$E$61,$F7,Runs!$AO$2:$AO$61,1)</f>
        <v>12</v>
      </c>
      <c r="K7" s="10" t="n">
        <f aca="false">AVERAGEIFS(Runs!$R$2:$R$61,Runs!$B$2:$B$61,$B7,Runs!$E$2:$E$61,$E7,Runs!$AO$2:$AO$61,1)</f>
        <v>59</v>
      </c>
      <c r="L7" s="10" t="n">
        <f aca="false">AVERAGEIFS(Runs!$R$2:$R$61,Runs!$B$2:$B$61,$B7,Runs!$E$2:$E$61,$F7,Runs!$AO$2:$AO$61,1)</f>
        <v>48.475</v>
      </c>
      <c r="M7" s="10" t="n">
        <f aca="false">L7-K7</f>
        <v>-10.525</v>
      </c>
      <c r="N7" s="11" t="n">
        <v>12</v>
      </c>
      <c r="O7" s="11" t="n">
        <v>12</v>
      </c>
      <c r="P7" s="11" t="n">
        <v>59</v>
      </c>
      <c r="Q7" s="11" t="n">
        <v>48.475</v>
      </c>
      <c r="R7" s="11" t="n">
        <v>-10.525</v>
      </c>
      <c r="S7" s="6" t="str">
        <f aca="false">IF(AND(I7=N7,J7=O7,ABS(K7-P7)&lt;=Settings!$B$9*MAX(1,ABS(P7)),ABS(L7-Q7)&lt;=Settings!$B$9*MAX(1,ABS(Q7)),ABS(M7-R7)&lt;=Settings!$B$9*MAX(1,ABS(R7))),"ok","CHECK")</f>
        <v>ok</v>
      </c>
      <c r="T7" s="9" t="s">
        <v>387</v>
      </c>
      <c r="U7" s="10" t="n">
        <f aca="false">(L7-K7)-Settings!$B$7*AZ7</f>
        <v>-34.709750194868</v>
      </c>
      <c r="V7" s="10" t="n">
        <f aca="false">(L7-K7)+Settings!$B$7*AZ7</f>
        <v>13.659750194868</v>
      </c>
      <c r="W7" s="11" t="n">
        <v>-33.8613</v>
      </c>
      <c r="X7" s="11" t="n">
        <v>12.2683</v>
      </c>
      <c r="Y7" s="10" t="n">
        <f aca="false">(L7-K7)-Settings!$B$8*AZ7</f>
        <v>-30.821482174533</v>
      </c>
      <c r="Z7" s="10" t="n">
        <f aca="false">(L7-K7)+Settings!$B$8*AZ7</f>
        <v>9.77148217453302</v>
      </c>
      <c r="AA7" s="11" t="n">
        <v>-31.3022</v>
      </c>
      <c r="AB7" s="11" t="n">
        <v>9.97992</v>
      </c>
      <c r="AC7" s="6" t="str">
        <f aca="false">IF(AND(ABS(U7-W7)&lt;=Settings!$B$10*(X7-W7),ABS(V7-X7)&lt;=Settings!$B$10*(X7-W7),ABS(Y7-AA7)&lt;=Settings!$B$10*(AB7-AA7),ABS(Z7-AB7)&lt;=Settings!$B$10*(AB7-AA7)),"close","not close")</f>
        <v>close</v>
      </c>
      <c r="AD7" s="11" t="n">
        <v>0.460154</v>
      </c>
      <c r="AE7" s="11" t="n">
        <v>0.453061</v>
      </c>
      <c r="AF7" s="9" t="n">
        <v>46656</v>
      </c>
      <c r="AG7" s="6" t="str">
        <f aca="false">IF(ABS(AD7-AE7)&lt;=3*SQRT(AE7*(1-AE7)/Settings!$B$6)+1/(Settings!$B$6+1),"ok","CHECK")</f>
        <v>ok</v>
      </c>
      <c r="AH7" s="10" t="n">
        <f aca="false">MIN(1,IF(AD7=MIN($AD$5,$AD$6,$AD$7),3*MIN($AD$5,$AD$6,$AD$7),IF(AD7&lt;MAX($AD$5,$AD$6,$AD$7),MAX(3*MIN($AD$5,$AD$6,$AD$7),2*AD7),MAX(3*MIN($AD$5,$AD$6,$AD$7),2*($AD$5+$AD$6+$AD$7-MIN($AD$5,$AD$6,$AD$7)-MAX($AD$5,$AD$6,$AD$7)),MAX($AD$5,$AD$6,$AD$7)))))</f>
        <v>0.920308</v>
      </c>
      <c r="AI7" s="11" t="n">
        <v>0.920308</v>
      </c>
      <c r="AJ7" s="6" t="str">
        <f aca="false">IF(ABS(AH7-AI7)&lt;=Settings!$B$9*MAX(1,ABS(AI7)),"ok","CHECK")</f>
        <v>ok</v>
      </c>
      <c r="AK7" s="6" t="str">
        <f aca="false">IF(AH7&lt;Settings!$B$2,"different","undetermined")</f>
        <v>undetermined</v>
      </c>
      <c r="AL7" s="9" t="s">
        <v>385</v>
      </c>
      <c r="AM7" s="6" t="str">
        <f aca="false">IF(AK7=AL7,"ok","CHECK")</f>
        <v>ok</v>
      </c>
      <c r="AN7" s="6" t="n">
        <f aca="false">IF(AK7="different","",MAX(ABS(AA7),ABS(AB7)))</f>
        <v>31.3022</v>
      </c>
      <c r="AO7" s="11" t="n">
        <v>31.3022</v>
      </c>
      <c r="AP7" s="6" t="str">
        <f aca="false">IF(IF(AND(ISNUMBER(AN7),ISNUMBER(AO7)),ABS(N(AN7)-N(AO7))&lt;=Settings!$B$9*MAX(1,ABS(N(AO7))),AND(AN7="",AO7="")),"ok","CHECK")</f>
        <v>ok</v>
      </c>
      <c r="AQ7" s="2"/>
      <c r="AR7" s="2"/>
      <c r="AS7" s="2"/>
      <c r="AT7" s="2"/>
      <c r="AU7" s="2"/>
      <c r="AV7" s="2"/>
      <c r="AW7" s="2"/>
      <c r="AX7" s="2"/>
      <c r="AY7" s="2"/>
      <c r="AZ7" s="10" t="n">
        <f aca="false">SQRT(SUMIFS(Runs!$AR$2:$AR$61,Runs!$B$2:$B$61,$B7,Runs!$E$2:$E$61,$E7)/I7^2+SUMIFS(Runs!$AR$2:$AR$61,Runs!$B$2:$B$61,$B7,Runs!$E$2:$E$61,$F7)/J7^2)</f>
        <v>12.3393850017828</v>
      </c>
    </row>
    <row r="8" customFormat="false" ht="15" hidden="false" customHeight="false" outlineLevel="0" collapsed="false">
      <c r="A8" s="9" t="s">
        <v>379</v>
      </c>
      <c r="B8" s="9" t="s">
        <v>104</v>
      </c>
      <c r="C8" s="9" t="s">
        <v>390</v>
      </c>
      <c r="D8" s="9" t="s">
        <v>391</v>
      </c>
      <c r="E8" s="9" t="s">
        <v>111</v>
      </c>
      <c r="F8" s="9" t="s">
        <v>115</v>
      </c>
      <c r="G8" s="9" t="s">
        <v>392</v>
      </c>
      <c r="H8" s="9" t="s">
        <v>393</v>
      </c>
      <c r="I8" s="10" t="n">
        <f aca="false">COUNTIFS(Runs!$B$2:$B$61,$B8,Runs!$E$2:$E$61,$E8)</f>
        <v>12</v>
      </c>
      <c r="J8" s="10" t="n">
        <f aca="false">COUNTIFS(Runs!$B$2:$B$61,$B8,Runs!$E$2:$E$61,$F8)</f>
        <v>12</v>
      </c>
      <c r="K8" s="10" t="n">
        <f aca="false">AVERAGEIFS(Runs!$J$2:$J$61,Runs!$B$2:$B$61,$B8,Runs!$E$2:$E$61,$E8)</f>
        <v>0.728676333333333</v>
      </c>
      <c r="L8" s="10" t="n">
        <f aca="false">AVERAGEIFS(Runs!$J$2:$J$61,Runs!$B$2:$B$61,$B8,Runs!$E$2:$E$61,$F8)</f>
        <v>0.982931166666667</v>
      </c>
      <c r="M8" s="10" t="n">
        <f aca="false">L8-K8</f>
        <v>0.254254833333333</v>
      </c>
      <c r="N8" s="11" t="n">
        <v>12</v>
      </c>
      <c r="O8" s="11" t="n">
        <v>12</v>
      </c>
      <c r="P8" s="11" t="n">
        <v>0.728676</v>
      </c>
      <c r="Q8" s="11" t="n">
        <v>0.982931</v>
      </c>
      <c r="R8" s="11" t="n">
        <v>0.254255</v>
      </c>
      <c r="S8" s="6" t="str">
        <f aca="false">IF(AND(I8=N8,J8=O8,ABS(K8-P8)&lt;=Settings!$B$9*MAX(1,ABS(P8)),ABS(L8-Q8)&lt;=Settings!$B$9*MAX(1,ABS(Q8)),ABS(M8-R8)&lt;=Settings!$B$9*MAX(1,ABS(R8))),"ok","CHECK")</f>
        <v>ok</v>
      </c>
      <c r="T8" s="9" t="s">
        <v>387</v>
      </c>
      <c r="U8" s="10" t="n">
        <f aca="false">(L8-K8)-Settings!$B$7*AZ8</f>
        <v>0.215788590170416</v>
      </c>
      <c r="V8" s="10" t="n">
        <f aca="false">(L8-K8)+Settings!$B$7*AZ8</f>
        <v>0.29272107649625</v>
      </c>
      <c r="W8" s="11" t="n">
        <v>0.215932</v>
      </c>
      <c r="X8" s="11" t="n">
        <v>0.292613</v>
      </c>
      <c r="Y8" s="10" t="n">
        <f aca="false">(L8-K8)-Settings!$B$8*AZ8</f>
        <v>0.22197294444109</v>
      </c>
      <c r="Z8" s="10" t="n">
        <f aca="false">(L8-K8)+Settings!$B$8*AZ8</f>
        <v>0.286536722225577</v>
      </c>
      <c r="AA8" s="11" t="n">
        <v>0.22216</v>
      </c>
      <c r="AB8" s="11" t="n">
        <v>0.28728</v>
      </c>
      <c r="AC8" s="6" t="str">
        <f aca="false">IF(AND(ABS(U8-W8)&lt;=Settings!$B$10*(X8-W8),ABS(V8-X8)&lt;=Settings!$B$10*(X8-W8),ABS(Y8-AA8)&lt;=Settings!$B$10*(AB8-AA8),ABS(Z8-AB8)&lt;=Settings!$B$10*(AB8-AA8)),"close","not close")</f>
        <v>close</v>
      </c>
      <c r="AD8" s="11" t="n">
        <v>9.999E-005</v>
      </c>
      <c r="AE8" s="11" t="n">
        <v>2.14335E-005</v>
      </c>
      <c r="AF8" s="9" t="n">
        <v>46656</v>
      </c>
      <c r="AG8" s="6" t="str">
        <f aca="false">IF(ABS(AD8-AE8)&lt;=3*SQRT(AE8*(1-AE8)/Settings!$B$6)+1/(Settings!$B$6+1),"ok","CHECK")</f>
        <v>ok</v>
      </c>
      <c r="AH8" s="10" t="n">
        <f aca="false">MIN(1,IF(AD8=MIN($AD$8,$AD$9,$AD$10),3*MIN($AD$8,$AD$9,$AD$10),IF(AD8&lt;MAX($AD$8,$AD$9,$AD$10),MAX(3*MIN($AD$8,$AD$9,$AD$10),2*AD8),MAX(3*MIN($AD$8,$AD$9,$AD$10),2*($AD$8+$AD$9+$AD$10-MIN($AD$8,$AD$9,$AD$10)-MAX($AD$8,$AD$9,$AD$10)),MAX($AD$8,$AD$9,$AD$10)))))</f>
        <v>0.00029997</v>
      </c>
      <c r="AI8" s="11" t="n">
        <v>0.00029997</v>
      </c>
      <c r="AJ8" s="6" t="str">
        <f aca="false">IF(ABS(AH8-AI8)&lt;=Settings!$B$9*MAX(1,ABS(AI8)),"ok","CHECK")</f>
        <v>ok</v>
      </c>
      <c r="AK8" s="6" t="str">
        <f aca="false">IF(AH8&lt;Settings!$B$2,"supported","not supported")</f>
        <v>supported</v>
      </c>
      <c r="AL8" s="9" t="s">
        <v>394</v>
      </c>
      <c r="AM8" s="6" t="str">
        <f aca="false">IF(AK8=AL8,"ok","CHECK")</f>
        <v>ok</v>
      </c>
      <c r="AN8" s="6"/>
      <c r="AO8" s="9"/>
      <c r="AP8" s="6" t="str">
        <f aca="false">IF(AO8="","ok","CHECK")</f>
        <v>ok</v>
      </c>
      <c r="AQ8" s="2"/>
      <c r="AR8" s="2"/>
      <c r="AS8" s="2"/>
      <c r="AT8" s="2"/>
      <c r="AU8" s="2"/>
      <c r="AV8" s="2"/>
      <c r="AW8" s="2"/>
      <c r="AX8" s="2"/>
      <c r="AY8" s="2"/>
      <c r="AZ8" s="10" t="n">
        <f aca="false">SQRT(SUMIFS(Runs!$AV$2:$AV$61,Runs!$B$2:$B$61,$B8,Runs!$E$2:$E$61,$E8)/I8^2+SUMIFS(Runs!$AV$2:$AV$61,Runs!$B$2:$B$61,$B8,Runs!$E$2:$E$61,$F8)/J8^2)</f>
        <v>0.0196259948990561</v>
      </c>
    </row>
    <row r="9" customFormat="false" ht="15" hidden="false" customHeight="false" outlineLevel="0" collapsed="false">
      <c r="A9" s="9" t="s">
        <v>379</v>
      </c>
      <c r="B9" s="9" t="s">
        <v>104</v>
      </c>
      <c r="C9" s="9" t="s">
        <v>390</v>
      </c>
      <c r="D9" s="9" t="s">
        <v>395</v>
      </c>
      <c r="E9" s="9" t="s">
        <v>111</v>
      </c>
      <c r="F9" s="9" t="s">
        <v>115</v>
      </c>
      <c r="G9" s="9" t="s">
        <v>396</v>
      </c>
      <c r="H9" s="9" t="s">
        <v>397</v>
      </c>
      <c r="I9" s="10" t="n">
        <f aca="false">COUNTIFS(Runs!$B$2:$B$61,$B9,Runs!$E$2:$E$61,$E9,Runs!$AW$2:$AW$61,1)</f>
        <v>12</v>
      </c>
      <c r="J9" s="10" t="n">
        <f aca="false">COUNTIFS(Runs!$B$2:$B$61,$B9,Runs!$E$2:$E$61,$F9,Runs!$AW$2:$AW$61,1)</f>
        <v>12</v>
      </c>
      <c r="K9" s="10" t="n">
        <f aca="false">AVERAGEIFS(Runs!$Q$2:$Q$61,Runs!$B$2:$B$61,$B9,Runs!$E$2:$E$61,$E9,Runs!$AW$2:$AW$61,1)</f>
        <v>5.96446473057565</v>
      </c>
      <c r="L9" s="10" t="n">
        <f aca="false">AVERAGEIFS(Runs!$Q$2:$Q$61,Runs!$B$2:$B$61,$B9,Runs!$E$2:$E$61,$F9,Runs!$AW$2:$AW$61,1)</f>
        <v>4.95087041749779</v>
      </c>
      <c r="M9" s="10" t="n">
        <f aca="false">EXP(L9-K9)</f>
        <v>0.362912212402061</v>
      </c>
      <c r="N9" s="11" t="n">
        <v>12</v>
      </c>
      <c r="O9" s="11" t="n">
        <v>12</v>
      </c>
      <c r="P9" s="11" t="n">
        <v>5.96446</v>
      </c>
      <c r="Q9" s="11" t="n">
        <v>4.95087</v>
      </c>
      <c r="R9" s="11" t="n">
        <v>0.362912</v>
      </c>
      <c r="S9" s="6" t="str">
        <f aca="false">IF(AND(I9=N9,J9=O9,ABS(K9-P9)&lt;=Settings!$B$9*MAX(1,ABS(P9)),ABS(L9-Q9)&lt;=Settings!$B$9*MAX(1,ABS(Q9)),ABS(M9-R9)&lt;=Settings!$B$9*MAX(1,ABS(R9))),"ok","CHECK")</f>
        <v>ok</v>
      </c>
      <c r="T9" s="9" t="s">
        <v>387</v>
      </c>
      <c r="U9" s="10" t="n">
        <f aca="false">EXP((L9-K9)-Settings!$B$7*AZ9)</f>
        <v>0.329499206443199</v>
      </c>
      <c r="V9" s="10" t="n">
        <f aca="false">EXP((L9-K9)+Settings!$B$7*AZ9)</f>
        <v>0.399713478318385</v>
      </c>
      <c r="W9" s="11" t="n">
        <v>0.330099</v>
      </c>
      <c r="X9" s="11" t="n">
        <v>0.399696</v>
      </c>
      <c r="Y9" s="10" t="n">
        <f aca="false">EXP((L9-K9)-Settings!$B$8*AZ9)</f>
        <v>0.334655814149948</v>
      </c>
      <c r="Z9" s="10" t="n">
        <f aca="false">EXP((L9-K9)+Settings!$B$8*AZ9)</f>
        <v>0.393554417230433</v>
      </c>
      <c r="AA9" s="11" t="n">
        <v>0.334832</v>
      </c>
      <c r="AB9" s="11" t="n">
        <v>0.39398</v>
      </c>
      <c r="AC9" s="6" t="str">
        <f aca="false">IF(AND(ABS(U9-W9)&lt;=Settings!$B$10*(X9-W9),ABS(V9-X9)&lt;=Settings!$B$10*(X9-W9),ABS(Y9-AA9)&lt;=Settings!$B$10*(AB9-AA9),ABS(Z9-AB9)&lt;=Settings!$B$10*(AB9-AA9)),"close","not close")</f>
        <v>close</v>
      </c>
      <c r="AD9" s="11" t="n">
        <v>9.999E-005</v>
      </c>
      <c r="AE9" s="11" t="n">
        <v>2.14335E-005</v>
      </c>
      <c r="AF9" s="9" t="n">
        <v>46656</v>
      </c>
      <c r="AG9" s="6" t="str">
        <f aca="false">IF(ABS(AD9-AE9)&lt;=3*SQRT(AE9*(1-AE9)/Settings!$B$6)+1/(Settings!$B$6+1),"ok","CHECK")</f>
        <v>ok</v>
      </c>
      <c r="AH9" s="10" t="n">
        <f aca="false">MIN(1,IF(AD9=MIN($AD$8,$AD$9,$AD$10),3*MIN($AD$8,$AD$9,$AD$10),IF(AD9&lt;MAX($AD$8,$AD$9,$AD$10),MAX(3*MIN($AD$8,$AD$9,$AD$10),2*AD9),MAX(3*MIN($AD$8,$AD$9,$AD$10),2*($AD$8+$AD$9+$AD$10-MIN($AD$8,$AD$9,$AD$10)-MAX($AD$8,$AD$9,$AD$10)),MAX($AD$8,$AD$9,$AD$10)))))</f>
        <v>0.00029997</v>
      </c>
      <c r="AI9" s="11" t="n">
        <v>0.00029997</v>
      </c>
      <c r="AJ9" s="6" t="str">
        <f aca="false">IF(ABS(AH9-AI9)&lt;=Settings!$B$9*MAX(1,ABS(AI9)),"ok","CHECK")</f>
        <v>ok</v>
      </c>
      <c r="AK9" s="6" t="str">
        <f aca="false">IF(AH9&lt;Settings!$B$2,"supported","not supported")</f>
        <v>supported</v>
      </c>
      <c r="AL9" s="9" t="s">
        <v>394</v>
      </c>
      <c r="AM9" s="6" t="str">
        <f aca="false">IF(AK9=AL9,"ok","CHECK")</f>
        <v>ok</v>
      </c>
      <c r="AN9" s="6"/>
      <c r="AO9" s="9"/>
      <c r="AP9" s="6" t="str">
        <f aca="false">IF(AO9="","ok","CHECK")</f>
        <v>ok</v>
      </c>
      <c r="AQ9" s="2"/>
      <c r="AR9" s="2"/>
      <c r="AS9" s="2"/>
      <c r="AT9" s="2"/>
      <c r="AU9" s="2"/>
      <c r="AV9" s="2"/>
      <c r="AW9" s="2"/>
      <c r="AX9" s="2"/>
      <c r="AY9" s="2"/>
      <c r="AZ9" s="10" t="n">
        <f aca="false">SQRT(SUMIFS(Runs!$AZ$2:$AZ$61,Runs!$B$2:$B$61,$B9,Runs!$E$2:$E$61,$E9)/I9^2+SUMIFS(Runs!$AZ$2:$AZ$61,Runs!$B$2:$B$61,$B9,Runs!$E$2:$E$61,$F9)/J9^2)</f>
        <v>0.0492799975372517</v>
      </c>
    </row>
    <row r="10" customFormat="false" ht="15" hidden="false" customHeight="false" outlineLevel="0" collapsed="false">
      <c r="A10" s="9" t="s">
        <v>379</v>
      </c>
      <c r="B10" s="9" t="s">
        <v>104</v>
      </c>
      <c r="C10" s="9" t="s">
        <v>390</v>
      </c>
      <c r="D10" s="9" t="s">
        <v>398</v>
      </c>
      <c r="E10" s="9" t="s">
        <v>111</v>
      </c>
      <c r="F10" s="9" t="s">
        <v>115</v>
      </c>
      <c r="G10" s="9" t="s">
        <v>396</v>
      </c>
      <c r="H10" s="9" t="s">
        <v>399</v>
      </c>
      <c r="I10" s="10" t="n">
        <f aca="false">COUNTIFS(Runs!$B$2:$B$61,$B10,Runs!$E$2:$E$61,$E10)</f>
        <v>12</v>
      </c>
      <c r="J10" s="10" t="n">
        <f aca="false">COUNTIFS(Runs!$B$2:$B$61,$B10,Runs!$E$2:$E$61,$F10)</f>
        <v>12</v>
      </c>
      <c r="K10" s="10" t="n">
        <f aca="false">AVERAGEIFS(Runs!$L$2:$L$61,Runs!$B$2:$B$61,$B10,Runs!$E$2:$E$61,$E10)</f>
        <v>0.25</v>
      </c>
      <c r="L10" s="10" t="n">
        <f aca="false">AVERAGEIFS(Runs!$L$2:$L$61,Runs!$B$2:$B$61,$B10,Runs!$E$2:$E$61,$F10)</f>
        <v>0</v>
      </c>
      <c r="M10" s="10" t="n">
        <f aca="false">L10-K10</f>
        <v>-0.25</v>
      </c>
      <c r="N10" s="11" t="n">
        <v>12</v>
      </c>
      <c r="O10" s="11" t="n">
        <v>12</v>
      </c>
      <c r="P10" s="11" t="n">
        <v>0.25</v>
      </c>
      <c r="Q10" s="11" t="n">
        <v>0</v>
      </c>
      <c r="R10" s="11" t="n">
        <v>-0.25</v>
      </c>
      <c r="S10" s="6" t="str">
        <f aca="false">IF(AND(I10=N10,J10=O10,ABS(K10-P10)&lt;=Settings!$B$9*MAX(1,ABS(P10)),ABS(L10-Q10)&lt;=Settings!$B$9*MAX(1,ABS(Q10)),ABS(M10-R10)&lt;=Settings!$B$9*MAX(1,ABS(R10))),"ok","CHECK")</f>
        <v>ok</v>
      </c>
      <c r="T10" s="9" t="s">
        <v>384</v>
      </c>
      <c r="U10" s="10" t="n">
        <f aca="false">(L10-K10)-SQRT((L10-AT10)^2+(AS10-K10)^2)</f>
        <v>-0.532305334933566</v>
      </c>
      <c r="V10" s="10" t="n">
        <f aca="false">(L10-K10)+SQRT((AU10-L10)^2+(K10-AR10)^2)</f>
        <v>0.0411067320475474</v>
      </c>
      <c r="W10" s="11" t="n">
        <v>-0.532305</v>
      </c>
      <c r="X10" s="11" t="n">
        <v>0.0411067</v>
      </c>
      <c r="Y10" s="10" t="n">
        <f aca="false">(L10-K10)-SQRT((L10-AX10)^2+(AW10-K10)^2)</f>
        <v>-0.487338031803249</v>
      </c>
      <c r="Z10" s="10" t="n">
        <f aca="false">(L10-K10)+SQRT((AY10-L10)^2+(K10-AV10)^2)</f>
        <v>-0.0155326105490362</v>
      </c>
      <c r="AA10" s="11" t="n">
        <v>-0.487338</v>
      </c>
      <c r="AB10" s="11" t="n">
        <v>-0.0155326</v>
      </c>
      <c r="AC10" s="6" t="str">
        <f aca="false">IF(AND(ABS(U10-W10)&lt;=Settings!$B$9*MAX(1,ABS(W10)),ABS(V10-X10)&lt;=Settings!$B$9*MAX(1,ABS(X10)),ABS(Y10-AA10)&lt;=Settings!$B$9*MAX(1,ABS(AA10)),ABS(Z10-AB10)&lt;=Settings!$B$9*MAX(1,ABS(AB10))),"ok","CHECK")</f>
        <v>ok</v>
      </c>
      <c r="AD10" s="11" t="n">
        <v>0.123488</v>
      </c>
      <c r="AE10" s="11" t="n">
        <v>0.125</v>
      </c>
      <c r="AF10" s="9" t="n">
        <v>46656</v>
      </c>
      <c r="AG10" s="6" t="str">
        <f aca="false">IF(ABS(AD10-AE10)&lt;=3*SQRT(AE10*(1-AE10)/Settings!$B$6)+1/(Settings!$B$6+1),"ok","CHECK")</f>
        <v>ok</v>
      </c>
      <c r="AH10" s="10" t="n">
        <f aca="false">MIN(1,IF(AD10=MIN($AD$8,$AD$9,$AD$10),3*MIN($AD$8,$AD$9,$AD$10),IF(AD10&lt;MAX($AD$8,$AD$9,$AD$10),MAX(3*MIN($AD$8,$AD$9,$AD$10),2*AD10),MAX(3*MIN($AD$8,$AD$9,$AD$10),2*($AD$8+$AD$9+$AD$10-MIN($AD$8,$AD$9,$AD$10)-MAX($AD$8,$AD$9,$AD$10)),MAX($AD$8,$AD$9,$AD$10)))))</f>
        <v>0.123488</v>
      </c>
      <c r="AI10" s="11" t="n">
        <v>0.123488</v>
      </c>
      <c r="AJ10" s="6" t="str">
        <f aca="false">IF(ABS(AH10-AI10)&lt;=Settings!$B$9*MAX(1,ABS(AI10)),"ok","CHECK")</f>
        <v>ok</v>
      </c>
      <c r="AK10" s="6" t="str">
        <f aca="false">IF(AH10&lt;Settings!$B$2,"supported","not supported")</f>
        <v>not supported</v>
      </c>
      <c r="AL10" s="9" t="s">
        <v>400</v>
      </c>
      <c r="AM10" s="6" t="str">
        <f aca="false">IF(AK10=AL10,"ok","CHECK")</f>
        <v>ok</v>
      </c>
      <c r="AN10" s="6"/>
      <c r="AO10" s="9"/>
      <c r="AP10" s="6" t="str">
        <f aca="false">IF(AO10="","ok","CHECK")</f>
        <v>ok</v>
      </c>
      <c r="AQ10" s="2"/>
      <c r="AR10" s="10" t="n">
        <f aca="false">MAX(0,(K10+Settings!$B$7^2/(2*I10))/(1+Settings!$B$7^2/I10)-Settings!$B$7*SQRT(K10*(1-K10)/I10+Settings!$B$7^2/(4*I10^2))/(1+Settings!$B$7^2/I10))</f>
        <v>0.0889416683940548</v>
      </c>
      <c r="AS10" s="10" t="n">
        <f aca="false">MIN(1,(K10+Settings!$B$7^2/(2*I10))/(1+Settings!$B$7^2/I10)+Settings!$B$7*SQRT(K10*(1-K10)/I10+Settings!$B$7^2/(4*I10^2))/(1+Settings!$B$7^2/I10))</f>
        <v>0.532305334933566</v>
      </c>
      <c r="AT10" s="10" t="n">
        <f aca="false">MAX(0,(L10+Settings!$B$7^2/(2*J10))/(1+Settings!$B$7^2/J10)-Settings!$B$7*SQRT(L10*(1-L10)/J10+Settings!$B$7^2/(4*J10^2))/(1+Settings!$B$7^2/J10))</f>
        <v>0</v>
      </c>
      <c r="AU10" s="10" t="n">
        <f aca="false">MIN(1,(L10+Settings!$B$7^2/(2*J10))/(1+Settings!$B$7^2/J10)+Settings!$B$7*SQRT(L10*(1-L10)/J10+Settings!$B$7^2/(4*J10^2))/(1+Settings!$B$7^2/J10))</f>
        <v>0.242494006655241</v>
      </c>
      <c r="AV10" s="10" t="n">
        <f aca="false">MAX(0,(K10+Settings!$B$8^2/(2*I10))/(1+Settings!$B$8^2/I10)-Settings!$B$8*SQRT(K10*(1-K10)/I10+Settings!$B$8^2/(4*I10^2))/(1+Settings!$B$8^2/I10))</f>
        <v>0.104652565570489</v>
      </c>
      <c r="AW10" s="10" t="n">
        <f aca="false">MIN(1,(K10+Settings!$B$8^2/(2*I10))/(1+Settings!$B$8^2/I10)+Settings!$B$8*SQRT(K10*(1-K10)/I10+Settings!$B$8^2/(4*I10^2))/(1+Settings!$B$8^2/I10))</f>
        <v>0.487338031803249</v>
      </c>
      <c r="AX10" s="10" t="n">
        <f aca="false">MAX(0,(L10+Settings!$B$8^2/(2*J10))/(1+Settings!$B$8^2/J10)-Settings!$B$8*SQRT(L10*(1-L10)/J10+Settings!$B$8^2/(4*J10^2))/(1+Settings!$B$8^2/J10))</f>
        <v>0</v>
      </c>
      <c r="AY10" s="10" t="n">
        <f aca="false">MIN(1,(L10+Settings!$B$8^2/(2*J10))/(1+Settings!$B$8^2/J10)+Settings!$B$8*SQRT(L10*(1-L10)/J10+Settings!$B$8^2/(4*J10^2))/(1+Settings!$B$8^2/J10))</f>
        <v>0.183981194747477</v>
      </c>
      <c r="AZ10" s="2"/>
    </row>
    <row r="11" customFormat="false" ht="15" hidden="false" customHeight="false" outlineLevel="0" collapsed="false">
      <c r="A11" s="9" t="s">
        <v>379</v>
      </c>
      <c r="B11" s="9" t="s">
        <v>156</v>
      </c>
      <c r="C11" s="9" t="s">
        <v>380</v>
      </c>
      <c r="D11" s="9" t="s">
        <v>381</v>
      </c>
      <c r="E11" s="9" t="s">
        <v>111</v>
      </c>
      <c r="F11" s="9" t="s">
        <v>115</v>
      </c>
      <c r="G11" s="9" t="s">
        <v>382</v>
      </c>
      <c r="H11" s="9" t="s">
        <v>383</v>
      </c>
      <c r="I11" s="10" t="n">
        <f aca="false">COUNTIFS(Runs!$B$2:$B$61,$B11,Runs!$E$2:$E$61,$E11)</f>
        <v>12</v>
      </c>
      <c r="J11" s="10" t="n">
        <f aca="false">COUNTIFS(Runs!$B$2:$B$61,$B11,Runs!$E$2:$E$61,$F11)</f>
        <v>12</v>
      </c>
      <c r="K11" s="10" t="n">
        <f aca="false">AVERAGEIFS(Runs!$O$2:$O$61,Runs!$B$2:$B$61,$B11,Runs!$E$2:$E$61,$E11)</f>
        <v>0.166666666666667</v>
      </c>
      <c r="L11" s="10" t="n">
        <f aca="false">AVERAGEIFS(Runs!$O$2:$O$61,Runs!$B$2:$B$61,$B11,Runs!$E$2:$E$61,$F11)</f>
        <v>0</v>
      </c>
      <c r="M11" s="10" t="n">
        <f aca="false">L11-K11</f>
        <v>-0.166666666666667</v>
      </c>
      <c r="N11" s="11" t="n">
        <v>12</v>
      </c>
      <c r="O11" s="11" t="n">
        <v>12</v>
      </c>
      <c r="P11" s="11" t="n">
        <v>0.166667</v>
      </c>
      <c r="Q11" s="11" t="n">
        <v>0</v>
      </c>
      <c r="R11" s="11" t="n">
        <v>-0.166667</v>
      </c>
      <c r="S11" s="6" t="str">
        <f aca="false">IF(AND(I11=N11,J11=O11,ABS(K11-P11)&lt;=Settings!$B$9*MAX(1,ABS(P11)),ABS(L11-Q11)&lt;=Settings!$B$9*MAX(1,ABS(Q11)),ABS(M11-R11)&lt;=Settings!$B$9*MAX(1,ABS(R11))),"ok","CHECK")</f>
        <v>ok</v>
      </c>
      <c r="T11" s="9" t="s">
        <v>384</v>
      </c>
      <c r="U11" s="10" t="n">
        <f aca="false">(L11-K11)-SQRT((L11-AT11)^2+(AS11-K11)^2)</f>
        <v>-0.448030862252973</v>
      </c>
      <c r="V11" s="10" t="n">
        <f aca="false">(L11-K11)+SQRT((AU11-L11)^2+(K11-AR11)^2)</f>
        <v>0.103762248627577</v>
      </c>
      <c r="W11" s="11" t="n">
        <v>-0.448031</v>
      </c>
      <c r="X11" s="11" t="n">
        <v>0.103762</v>
      </c>
      <c r="Y11" s="10" t="n">
        <f aca="false">(L11-K11)-SQRT((L11-AX11)^2+(AW11-K11)^2)</f>
        <v>-0.39920691041554</v>
      </c>
      <c r="Z11" s="10" t="n">
        <f aca="false">(L11-K11)+SQRT((AY11-L11)^2+(K11-AV11)^2)</f>
        <v>0.0476322788569587</v>
      </c>
      <c r="AA11" s="11" t="n">
        <v>-0.399207</v>
      </c>
      <c r="AB11" s="11" t="n">
        <v>0.0476323</v>
      </c>
      <c r="AC11" s="6" t="str">
        <f aca="false">IF(AND(ABS(U11-W11)&lt;=Settings!$B$9*MAX(1,ABS(W11)),ABS(V11-X11)&lt;=Settings!$B$9*MAX(1,ABS(X11)),ABS(Y11-AA11)&lt;=Settings!$B$9*MAX(1,ABS(AA11)),ABS(Z11-AB11)&lt;=Settings!$B$9*MAX(1,ABS(AB11))),"ok","CHECK")</f>
        <v>ok</v>
      </c>
      <c r="AD11" s="11" t="n">
        <v>0.505749</v>
      </c>
      <c r="AE11" s="11" t="n">
        <v>0.5</v>
      </c>
      <c r="AF11" s="9" t="n">
        <v>46656</v>
      </c>
      <c r="AG11" s="6" t="str">
        <f aca="false">IF(ABS(AD11-AE11)&lt;=3*SQRT(AE11*(1-AE11)/Settings!$B$6)+1/(Settings!$B$6+1),"ok","CHECK")</f>
        <v>ok</v>
      </c>
      <c r="AH11" s="10" t="n">
        <f aca="false">MIN(1,IF(AD11=MIN($AD$11,$AD$12,$AD$13),3*MIN($AD$11,$AD$12,$AD$13),IF(AD11&lt;MAX($AD$11,$AD$12,$AD$13),MAX(3*MIN($AD$11,$AD$12,$AD$13),2*AD11),MAX(3*MIN($AD$11,$AD$12,$AD$13),2*($AD$11+$AD$12+$AD$13-MIN($AD$11,$AD$12,$AD$13)-MAX($AD$11,$AD$12,$AD$13)),MAX($AD$11,$AD$12,$AD$13)))))</f>
        <v>0.505749</v>
      </c>
      <c r="AI11" s="11" t="n">
        <v>0.505749</v>
      </c>
      <c r="AJ11" s="6" t="str">
        <f aca="false">IF(ABS(AH11-AI11)&lt;=Settings!$B$9*MAX(1,ABS(AI11)),"ok","CHECK")</f>
        <v>ok</v>
      </c>
      <c r="AK11" s="6" t="str">
        <f aca="false">IF(AH11&lt;Settings!$B$2,"different",IF(AND(Y11&gt;-Settings!$B$3,Z11&lt;Settings!$B$3),"equivalent","undetermined"))</f>
        <v>undetermined</v>
      </c>
      <c r="AL11" s="9" t="s">
        <v>385</v>
      </c>
      <c r="AM11" s="6" t="str">
        <f aca="false">IF(AK11=AL11,"ok","CHECK")</f>
        <v>ok</v>
      </c>
      <c r="AN11" s="6" t="n">
        <f aca="false">IF(AK11="different","",MAX(ABS(AA11),ABS(AB11)))</f>
        <v>0.399207</v>
      </c>
      <c r="AO11" s="11" t="n">
        <v>0.399207</v>
      </c>
      <c r="AP11" s="6" t="str">
        <f aca="false">IF(IF(AND(ISNUMBER(AN11),ISNUMBER(AO11)),ABS(N(AN11)-N(AO11))&lt;=Settings!$B$9*MAX(1,ABS(N(AO11))),AND(AN11="",AO11="")),"ok","CHECK")</f>
        <v>ok</v>
      </c>
      <c r="AQ11" s="2"/>
      <c r="AR11" s="10" t="n">
        <f aca="false">MAX(0,(K11+Settings!$B$7^2/(2*I11))/(1+Settings!$B$7^2/I11)-Settings!$B$7*SQRT(K11*(1-K11)/I11+Settings!$B$7^2/(4*I11^2))/(1+Settings!$B$7^2/I11))</f>
        <v>0.0469651421838538</v>
      </c>
      <c r="AS11" s="10" t="n">
        <f aca="false">MIN(1,(K11+Settings!$B$7^2/(2*I11))/(1+Settings!$B$7^2/I11)+Settings!$B$7*SQRT(K11*(1-K11)/I11+Settings!$B$7^2/(4*I11^2))/(1+Settings!$B$7^2/I11))</f>
        <v>0.448030862252973</v>
      </c>
      <c r="AT11" s="10" t="n">
        <f aca="false">MAX(0,(L11+Settings!$B$7^2/(2*J11))/(1+Settings!$B$7^2/J11)-Settings!$B$7*SQRT(L11*(1-L11)/J11+Settings!$B$7^2/(4*J11^2))/(1+Settings!$B$7^2/J11))</f>
        <v>0</v>
      </c>
      <c r="AU11" s="10" t="n">
        <f aca="false">MIN(1,(L11+Settings!$B$7^2/(2*J11))/(1+Settings!$B$7^2/J11)+Settings!$B$7*SQRT(L11*(1-L11)/J11+Settings!$B$7^2/(4*J11^2))/(1+Settings!$B$7^2/J11))</f>
        <v>0.242494006655241</v>
      </c>
      <c r="AV11" s="10" t="n">
        <f aca="false">MAX(0,(K11+Settings!$B$8^2/(2*I11))/(1+Settings!$B$8^2/I11)-Settings!$B$8*SQRT(K11*(1-K11)/I11+Settings!$B$8^2/(4*I11^2))/(1+Settings!$B$8^2/I11))</f>
        <v>0.0567805527494444</v>
      </c>
      <c r="AW11" s="10" t="n">
        <f aca="false">MIN(1,(K11+Settings!$B$8^2/(2*I11))/(1+Settings!$B$8^2/I11)+Settings!$B$8*SQRT(K11*(1-K11)/I11+Settings!$B$8^2/(4*I11^2))/(1+Settings!$B$8^2/I11))</f>
        <v>0.39920691041554</v>
      </c>
      <c r="AX11" s="10" t="n">
        <f aca="false">MAX(0,(L11+Settings!$B$8^2/(2*J11))/(1+Settings!$B$8^2/J11)-Settings!$B$8*SQRT(L11*(1-L11)/J11+Settings!$B$8^2/(4*J11^2))/(1+Settings!$B$8^2/J11))</f>
        <v>0</v>
      </c>
      <c r="AY11" s="10" t="n">
        <f aca="false">MIN(1,(L11+Settings!$B$8^2/(2*J11))/(1+Settings!$B$8^2/J11)+Settings!$B$8*SQRT(L11*(1-L11)/J11+Settings!$B$8^2/(4*J11^2))/(1+Settings!$B$8^2/J11))</f>
        <v>0.183981194747477</v>
      </c>
      <c r="AZ11" s="2"/>
    </row>
    <row r="12" customFormat="false" ht="15" hidden="false" customHeight="false" outlineLevel="0" collapsed="false">
      <c r="A12" s="9" t="s">
        <v>379</v>
      </c>
      <c r="B12" s="9" t="s">
        <v>156</v>
      </c>
      <c r="C12" s="9" t="s">
        <v>380</v>
      </c>
      <c r="D12" s="9" t="s">
        <v>59</v>
      </c>
      <c r="E12" s="9" t="s">
        <v>111</v>
      </c>
      <c r="F12" s="9" t="s">
        <v>115</v>
      </c>
      <c r="G12" s="9" t="s">
        <v>382</v>
      </c>
      <c r="H12" s="9" t="s">
        <v>386</v>
      </c>
      <c r="I12" s="10" t="n">
        <f aca="false">COUNTIFS(Runs!$B$2:$B$61,$B12,Runs!$E$2:$E$61,$E12,Runs!$AK$2:$AK$61,1)</f>
        <v>10</v>
      </c>
      <c r="J12" s="10" t="n">
        <f aca="false">COUNTIFS(Runs!$B$2:$B$61,$B12,Runs!$E$2:$E$61,$F12,Runs!$AK$2:$AK$61,1)</f>
        <v>12</v>
      </c>
      <c r="K12" s="10" t="n">
        <f aca="false">AVERAGEIFS(Runs!$P$2:$P$61,Runs!$B$2:$B$61,$B12,Runs!$E$2:$E$61,$E12,Runs!$AK$2:$AK$61,1)</f>
        <v>4.09280471618067</v>
      </c>
      <c r="L12" s="10" t="n">
        <f aca="false">AVERAGEIFS(Runs!$P$2:$P$61,Runs!$B$2:$B$61,$B12,Runs!$E$2:$E$61,$F12,Runs!$AK$2:$AK$61,1)</f>
        <v>3.67068196855309</v>
      </c>
      <c r="M12" s="10" t="n">
        <f aca="false">EXP(L12-K12)</f>
        <v>0.65565355453555</v>
      </c>
      <c r="N12" s="11" t="n">
        <v>10</v>
      </c>
      <c r="O12" s="11" t="n">
        <v>12</v>
      </c>
      <c r="P12" s="11" t="n">
        <v>4.0928</v>
      </c>
      <c r="Q12" s="11" t="n">
        <v>3.67068</v>
      </c>
      <c r="R12" s="11" t="n">
        <v>0.655654</v>
      </c>
      <c r="S12" s="6" t="str">
        <f aca="false">IF(AND(I12=N12,J12=O12,ABS(K12-P12)&lt;=Settings!$B$9*MAX(1,ABS(P12)),ABS(L12-Q12)&lt;=Settings!$B$9*MAX(1,ABS(Q12)),ABS(M12-R12)&lt;=Settings!$B$9*MAX(1,ABS(R12))),"ok","CHECK")</f>
        <v>ok</v>
      </c>
      <c r="T12" s="9" t="s">
        <v>387</v>
      </c>
      <c r="U12" s="10" t="n">
        <f aca="false">EXP((L12-K12)-Settings!$B$7*AZ12)</f>
        <v>0.501886053031178</v>
      </c>
      <c r="V12" s="10" t="n">
        <f aca="false">EXP((L12-K12)+Settings!$B$7*AZ12)</f>
        <v>0.856532236707517</v>
      </c>
      <c r="W12" s="11" t="n">
        <v>0.502117</v>
      </c>
      <c r="X12" s="11" t="n">
        <v>0.854026</v>
      </c>
      <c r="Y12" s="10" t="n">
        <f aca="false">EXP((L12-K12)-Settings!$B$8*AZ12)</f>
        <v>0.523921232221087</v>
      </c>
      <c r="Z12" s="10" t="n">
        <f aca="false">EXP((L12-K12)+Settings!$B$8*AZ12)</f>
        <v>0.82050804040272</v>
      </c>
      <c r="AA12" s="11" t="n">
        <v>0.522968</v>
      </c>
      <c r="AB12" s="11" t="n">
        <v>0.818443</v>
      </c>
      <c r="AC12" s="6" t="str">
        <f aca="false">IF(AND(ABS(U12-W12)&lt;=Settings!$B$10*(X12-W12),ABS(V12-X12)&lt;=Settings!$B$10*(X12-W12),ABS(Y12-AA12)&lt;=Settings!$B$10*(AB12-AA12),ABS(Z12-AB12)&lt;=Settings!$B$10*(AB12-AA12)),"close","not close")</f>
        <v>close</v>
      </c>
      <c r="AD12" s="11" t="n">
        <v>0.060194</v>
      </c>
      <c r="AE12" s="11" t="n">
        <v>0.0582133</v>
      </c>
      <c r="AF12" s="9" t="n">
        <v>11664</v>
      </c>
      <c r="AG12" s="6" t="str">
        <f aca="false">IF(ABS(AD12-AE12)&lt;=3*SQRT(AE12*(1-AE12)/Settings!$B$6)+1/(Settings!$B$6+1),"ok","CHECK")</f>
        <v>ok</v>
      </c>
      <c r="AH12" s="10" t="n">
        <f aca="false">MIN(1,IF(AD12=MIN($AD$11,$AD$12,$AD$13),3*MIN($AD$11,$AD$12,$AD$13),IF(AD12&lt;MAX($AD$11,$AD$12,$AD$13),MAX(3*MIN($AD$11,$AD$12,$AD$13),2*AD12),MAX(3*MIN($AD$11,$AD$12,$AD$13),2*($AD$11+$AD$12+$AD$13-MIN($AD$11,$AD$12,$AD$13)-MAX($AD$11,$AD$12,$AD$13)),MAX($AD$11,$AD$12,$AD$13)))))</f>
        <v>0.120388</v>
      </c>
      <c r="AI12" s="11" t="n">
        <v>0.120388</v>
      </c>
      <c r="AJ12" s="6" t="str">
        <f aca="false">IF(ABS(AH12-AI12)&lt;=Settings!$B$9*MAX(1,ABS(AI12)),"ok","CHECK")</f>
        <v>ok</v>
      </c>
      <c r="AK12" s="6" t="str">
        <f aca="false">IF(AH12&lt;Settings!$B$2,"different",IF(AND(AA12&gt;Settings!$B$4,AB12&lt;Settings!$B$5),"equivalent","undetermined"))</f>
        <v>undetermined</v>
      </c>
      <c r="AL12" s="9" t="s">
        <v>385</v>
      </c>
      <c r="AM12" s="6" t="str">
        <f aca="false">IF(AK12=AL12,"ok","CHECK")</f>
        <v>ok</v>
      </c>
      <c r="AN12" s="6" t="n">
        <f aca="false">IF(AK12="different","",MAX(AB12,1/AA12))</f>
        <v>1.91216288568325</v>
      </c>
      <c r="AO12" s="11" t="n">
        <v>1.91216</v>
      </c>
      <c r="AP12" s="6" t="str">
        <f aca="false">IF(IF(AND(ISNUMBER(AN12),ISNUMBER(AO12)),ABS(N(AN12)-N(AO12))&lt;=Settings!$B$9*MAX(1,ABS(N(AO12))),AND(AN12="",AO12="")),"ok","CHECK")</f>
        <v>ok</v>
      </c>
      <c r="AQ12" s="2"/>
      <c r="AR12" s="2"/>
      <c r="AS12" s="2"/>
      <c r="AT12" s="2"/>
      <c r="AU12" s="2"/>
      <c r="AV12" s="2"/>
      <c r="AW12" s="2"/>
      <c r="AX12" s="2"/>
      <c r="AY12" s="2"/>
      <c r="AZ12" s="10" t="n">
        <f aca="false">SQRT(SUMIFS(Runs!$AN$2:$AN$61,Runs!$B$2:$B$61,$B12,Runs!$E$2:$E$61,$E12)/I12^2+SUMIFS(Runs!$AN$2:$AN$61,Runs!$B$2:$B$61,$B12,Runs!$E$2:$E$61,$F12)/J12^2)</f>
        <v>0.136359354319688</v>
      </c>
    </row>
    <row r="13" customFormat="false" ht="15" hidden="false" customHeight="false" outlineLevel="0" collapsed="false">
      <c r="A13" s="9" t="s">
        <v>379</v>
      </c>
      <c r="B13" s="9" t="s">
        <v>156</v>
      </c>
      <c r="C13" s="9" t="s">
        <v>380</v>
      </c>
      <c r="D13" s="9" t="s">
        <v>69</v>
      </c>
      <c r="E13" s="9" t="s">
        <v>111</v>
      </c>
      <c r="F13" s="9" t="s">
        <v>115</v>
      </c>
      <c r="G13" s="9" t="s">
        <v>382</v>
      </c>
      <c r="H13" s="9" t="s">
        <v>388</v>
      </c>
      <c r="I13" s="10" t="n">
        <f aca="false">COUNTIFS(Runs!$B$2:$B$61,$B13,Runs!$E$2:$E$61,$E13,Runs!$AO$2:$AO$61,1)</f>
        <v>12</v>
      </c>
      <c r="J13" s="10" t="n">
        <f aca="false">COUNTIFS(Runs!$B$2:$B$61,$B13,Runs!$E$2:$E$61,$F13,Runs!$AO$2:$AO$61,1)</f>
        <v>12</v>
      </c>
      <c r="K13" s="10" t="n">
        <f aca="false">AVERAGEIFS(Runs!$R$2:$R$61,Runs!$B$2:$B$61,$B13,Runs!$E$2:$E$61,$E13,Runs!$AO$2:$AO$61,1)</f>
        <v>38.0741666666667</v>
      </c>
      <c r="L13" s="10" t="n">
        <f aca="false">AVERAGEIFS(Runs!$R$2:$R$61,Runs!$B$2:$B$61,$B13,Runs!$E$2:$E$61,$F13,Runs!$AO$2:$AO$61,1)</f>
        <v>84.6725</v>
      </c>
      <c r="M13" s="10" t="n">
        <f aca="false">L13-K13</f>
        <v>46.5983333333333</v>
      </c>
      <c r="N13" s="11" t="n">
        <v>12</v>
      </c>
      <c r="O13" s="11" t="n">
        <v>12</v>
      </c>
      <c r="P13" s="11" t="n">
        <v>38.0742</v>
      </c>
      <c r="Q13" s="11" t="n">
        <v>84.6725</v>
      </c>
      <c r="R13" s="11" t="n">
        <v>46.5983</v>
      </c>
      <c r="S13" s="6" t="str">
        <f aca="false">IF(AND(I13=N13,J13=O13,ABS(K13-P13)&lt;=Settings!$B$9*MAX(1,ABS(P13)),ABS(L13-Q13)&lt;=Settings!$B$9*MAX(1,ABS(Q13)),ABS(M13-R13)&lt;=Settings!$B$9*MAX(1,ABS(R13))),"ok","CHECK")</f>
        <v>ok</v>
      </c>
      <c r="T13" s="9" t="s">
        <v>387</v>
      </c>
      <c r="U13" s="10" t="n">
        <f aca="false">(L13-K13)-Settings!$B$7*AZ13</f>
        <v>24.6793105194428</v>
      </c>
      <c r="V13" s="10" t="n">
        <f aca="false">(L13-K13)+Settings!$B$7*AZ13</f>
        <v>68.5173561472239</v>
      </c>
      <c r="W13" s="11" t="n">
        <v>26.5168</v>
      </c>
      <c r="X13" s="11" t="n">
        <v>66.7827</v>
      </c>
      <c r="Y13" s="10" t="n">
        <f aca="false">(L13-K13)-Settings!$B$8*AZ13</f>
        <v>28.2033095170561</v>
      </c>
      <c r="Z13" s="10" t="n">
        <f aca="false">(L13-K13)+Settings!$B$8*AZ13</f>
        <v>64.9933571496106</v>
      </c>
      <c r="AA13" s="11" t="n">
        <v>27.8635</v>
      </c>
      <c r="AB13" s="11" t="n">
        <v>65.336</v>
      </c>
      <c r="AC13" s="6" t="str">
        <f aca="false">IF(AND(ABS(U13-W13)&lt;=Settings!$B$10*(X13-W13),ABS(V13-X13)&lt;=Settings!$B$10*(X13-W13),ABS(Y13-AA13)&lt;=Settings!$B$10*(AB13-AA13),ABS(Z13-AB13)&lt;=Settings!$B$10*(AB13-AA13)),"close","not close")</f>
        <v>close</v>
      </c>
      <c r="AD13" s="11" t="n">
        <v>0.0125987</v>
      </c>
      <c r="AE13" s="11" t="n">
        <v>0.00994513</v>
      </c>
      <c r="AF13" s="9" t="n">
        <v>46656</v>
      </c>
      <c r="AG13" s="6" t="str">
        <f aca="false">IF(ABS(AD13-AE13)&lt;=3*SQRT(AE13*(1-AE13)/Settings!$B$6)+1/(Settings!$B$6+1),"ok","CHECK")</f>
        <v>ok</v>
      </c>
      <c r="AH13" s="10" t="n">
        <f aca="false">MIN(1,IF(AD13=MIN($AD$11,$AD$12,$AD$13),3*MIN($AD$11,$AD$12,$AD$13),IF(AD13&lt;MAX($AD$11,$AD$12,$AD$13),MAX(3*MIN($AD$11,$AD$12,$AD$13),2*AD13),MAX(3*MIN($AD$11,$AD$12,$AD$13),2*($AD$11+$AD$12+$AD$13-MIN($AD$11,$AD$12,$AD$13)-MAX($AD$11,$AD$12,$AD$13)),MAX($AD$11,$AD$12,$AD$13)))))</f>
        <v>0.0377961</v>
      </c>
      <c r="AI13" s="11" t="n">
        <v>0.0377962</v>
      </c>
      <c r="AJ13" s="6" t="str">
        <f aca="false">IF(ABS(AH13-AI13)&lt;=Settings!$B$9*MAX(1,ABS(AI13)),"ok","CHECK")</f>
        <v>ok</v>
      </c>
      <c r="AK13" s="6" t="str">
        <f aca="false">IF(AH13&lt;Settings!$B$2,"different","undetermined")</f>
        <v>different</v>
      </c>
      <c r="AL13" s="9" t="s">
        <v>401</v>
      </c>
      <c r="AM13" s="6" t="str">
        <f aca="false">IF(AK13=AL13,"ok","CHECK")</f>
        <v>ok</v>
      </c>
      <c r="AN13" s="6" t="str">
        <f aca="false">IF(AK13="different","",MAX(ABS(AA13),ABS(AB13)))</f>
        <v/>
      </c>
      <c r="AO13" s="9"/>
      <c r="AP13" s="6" t="str">
        <f aca="false">IF(IF(AND(ISNUMBER(AN13),ISNUMBER(AO13)),ABS(N(AN13)-N(AO13))&lt;=Settings!$B$9*MAX(1,ABS(N(AO13))),AND(AN13="",AO13="")),"ok","CHECK")</f>
        <v>ok</v>
      </c>
      <c r="AQ13" s="2"/>
      <c r="AR13" s="2"/>
      <c r="AS13" s="2"/>
      <c r="AT13" s="2"/>
      <c r="AU13" s="2"/>
      <c r="AV13" s="2"/>
      <c r="AW13" s="2"/>
      <c r="AX13" s="2"/>
      <c r="AY13" s="2"/>
      <c r="AZ13" s="10" t="n">
        <f aca="false">SQRT(SUMIFS(Runs!$AR$2:$AR$61,Runs!$B$2:$B$61,$B13,Runs!$E$2:$E$61,$E13)/I13^2+SUMIFS(Runs!$AR$2:$AR$61,Runs!$B$2:$B$61,$B13,Runs!$E$2:$E$61,$F13)/J13^2)</f>
        <v>11.1833804022854</v>
      </c>
    </row>
    <row r="14" customFormat="false" ht="15" hidden="false" customHeight="false" outlineLevel="0" collapsed="false">
      <c r="A14" s="9" t="s">
        <v>379</v>
      </c>
      <c r="B14" s="9" t="s">
        <v>156</v>
      </c>
      <c r="C14" s="9" t="s">
        <v>390</v>
      </c>
      <c r="D14" s="9" t="s">
        <v>391</v>
      </c>
      <c r="E14" s="9" t="s">
        <v>111</v>
      </c>
      <c r="F14" s="9" t="s">
        <v>115</v>
      </c>
      <c r="G14" s="9" t="s">
        <v>392</v>
      </c>
      <c r="H14" s="9" t="s">
        <v>393</v>
      </c>
      <c r="I14" s="10" t="n">
        <f aca="false">COUNTIFS(Runs!$B$2:$B$61,$B14,Runs!$E$2:$E$61,$E14)</f>
        <v>12</v>
      </c>
      <c r="J14" s="10" t="n">
        <f aca="false">COUNTIFS(Runs!$B$2:$B$61,$B14,Runs!$E$2:$E$61,$F14)</f>
        <v>12</v>
      </c>
      <c r="K14" s="10" t="n">
        <f aca="false">AVERAGEIFS(Runs!$J$2:$J$61,Runs!$B$2:$B$61,$B14,Runs!$E$2:$E$61,$E14)</f>
        <v>0.717156083333333</v>
      </c>
      <c r="L14" s="10" t="n">
        <f aca="false">AVERAGEIFS(Runs!$J$2:$J$61,Runs!$B$2:$B$61,$B14,Runs!$E$2:$E$61,$F14)</f>
        <v>0.98899025</v>
      </c>
      <c r="M14" s="10" t="n">
        <f aca="false">L14-K14</f>
        <v>0.271834166666667</v>
      </c>
      <c r="N14" s="11" t="n">
        <v>12</v>
      </c>
      <c r="O14" s="11" t="n">
        <v>12</v>
      </c>
      <c r="P14" s="11" t="n">
        <v>0.717156</v>
      </c>
      <c r="Q14" s="11" t="n">
        <v>0.98899</v>
      </c>
      <c r="R14" s="11" t="n">
        <v>0.271834</v>
      </c>
      <c r="S14" s="6" t="str">
        <f aca="false">IF(AND(I14=N14,J14=O14,ABS(K14-P14)&lt;=Settings!$B$9*MAX(1,ABS(P14)),ABS(L14-Q14)&lt;=Settings!$B$9*MAX(1,ABS(Q14)),ABS(M14-R14)&lt;=Settings!$B$9*MAX(1,ABS(R14))),"ok","CHECK")</f>
        <v>ok</v>
      </c>
      <c r="T14" s="9" t="s">
        <v>387</v>
      </c>
      <c r="U14" s="10" t="n">
        <f aca="false">(L14-K14)-Settings!$B$7*AZ14</f>
        <v>0.23299875474119</v>
      </c>
      <c r="V14" s="10" t="n">
        <f aca="false">(L14-K14)+Settings!$B$7*AZ14</f>
        <v>0.310669578592143</v>
      </c>
      <c r="W14" s="11" t="n">
        <v>0.233465</v>
      </c>
      <c r="X14" s="11" t="n">
        <v>0.309645</v>
      </c>
      <c r="Y14" s="10" t="n">
        <f aca="false">(L14-K14)-Settings!$B$8*AZ14</f>
        <v>0.239242461582471</v>
      </c>
      <c r="Z14" s="10" t="n">
        <f aca="false">(L14-K14)+Settings!$B$8*AZ14</f>
        <v>0.304425871750862</v>
      </c>
      <c r="AA14" s="11" t="n">
        <v>0.239077</v>
      </c>
      <c r="AB14" s="11" t="n">
        <v>0.304006</v>
      </c>
      <c r="AC14" s="6" t="str">
        <f aca="false">IF(AND(ABS(U14-W14)&lt;=Settings!$B$10*(X14-W14),ABS(V14-X14)&lt;=Settings!$B$10*(X14-W14),ABS(Y14-AA14)&lt;=Settings!$B$10*(AB14-AA14),ABS(Z14-AB14)&lt;=Settings!$B$10*(AB14-AA14)),"close","not close")</f>
        <v>close</v>
      </c>
      <c r="AD14" s="11" t="n">
        <v>0.00019998</v>
      </c>
      <c r="AE14" s="11" t="n">
        <v>2.14335E-005</v>
      </c>
      <c r="AF14" s="9" t="n">
        <v>46656</v>
      </c>
      <c r="AG14" s="6" t="str">
        <f aca="false">IF(ABS(AD14-AE14)&lt;=3*SQRT(AE14*(1-AE14)/Settings!$B$6)+1/(Settings!$B$6+1),"ok","CHECK")</f>
        <v>ok</v>
      </c>
      <c r="AH14" s="10" t="n">
        <f aca="false">MIN(1,IF(AD14=MIN($AD$14,$AD$15,$AD$16),3*MIN($AD$14,$AD$15,$AD$16),IF(AD14&lt;MAX($AD$14,$AD$15,$AD$16),MAX(3*MIN($AD$14,$AD$15,$AD$16),2*AD14),MAX(3*MIN($AD$14,$AD$15,$AD$16),2*($AD$14+$AD$15+$AD$16-MIN($AD$14,$AD$15,$AD$16)-MAX($AD$14,$AD$15,$AD$16)),MAX($AD$14,$AD$15,$AD$16)))))</f>
        <v>0.00039996</v>
      </c>
      <c r="AI14" s="11" t="n">
        <v>0.00039996</v>
      </c>
      <c r="AJ14" s="6" t="str">
        <f aca="false">IF(ABS(AH14-AI14)&lt;=Settings!$B$9*MAX(1,ABS(AI14)),"ok","CHECK")</f>
        <v>ok</v>
      </c>
      <c r="AK14" s="6" t="str">
        <f aca="false">IF(AH14&lt;Settings!$B$2,"supported","not supported")</f>
        <v>supported</v>
      </c>
      <c r="AL14" s="9" t="s">
        <v>394</v>
      </c>
      <c r="AM14" s="6" t="str">
        <f aca="false">IF(AK14=AL14,"ok","CHECK")</f>
        <v>ok</v>
      </c>
      <c r="AN14" s="6"/>
      <c r="AO14" s="9"/>
      <c r="AP14" s="6" t="str">
        <f aca="false">IF(AO14="","ok","CHECK")</f>
        <v>ok</v>
      </c>
      <c r="AQ14" s="2"/>
      <c r="AR14" s="2"/>
      <c r="AS14" s="2"/>
      <c r="AT14" s="2"/>
      <c r="AU14" s="2"/>
      <c r="AV14" s="2"/>
      <c r="AW14" s="2"/>
      <c r="AX14" s="2"/>
      <c r="AY14" s="2"/>
      <c r="AZ14" s="10" t="n">
        <f aca="false">SQRT(SUMIFS(Runs!$AV$2:$AV$61,Runs!$B$2:$B$61,$B14,Runs!$E$2:$E$61,$E14)/I14^2+SUMIFS(Runs!$AV$2:$AV$61,Runs!$B$2:$B$61,$B14,Runs!$E$2:$E$61,$F14)/J14^2)</f>
        <v>0.0198143497695904</v>
      </c>
    </row>
    <row r="15" customFormat="false" ht="15" hidden="false" customHeight="false" outlineLevel="0" collapsed="false">
      <c r="A15" s="9" t="s">
        <v>379</v>
      </c>
      <c r="B15" s="9" t="s">
        <v>156</v>
      </c>
      <c r="C15" s="9" t="s">
        <v>390</v>
      </c>
      <c r="D15" s="9" t="s">
        <v>395</v>
      </c>
      <c r="E15" s="9" t="s">
        <v>111</v>
      </c>
      <c r="F15" s="9" t="s">
        <v>115</v>
      </c>
      <c r="G15" s="9" t="s">
        <v>396</v>
      </c>
      <c r="H15" s="9" t="s">
        <v>397</v>
      </c>
      <c r="I15" s="10" t="n">
        <f aca="false">COUNTIFS(Runs!$B$2:$B$61,$B15,Runs!$E$2:$E$61,$E15,Runs!$AW$2:$AW$61,1)</f>
        <v>12</v>
      </c>
      <c r="J15" s="10" t="n">
        <f aca="false">COUNTIFS(Runs!$B$2:$B$61,$B15,Runs!$E$2:$E$61,$F15,Runs!$AW$2:$AW$61,1)</f>
        <v>12</v>
      </c>
      <c r="K15" s="10" t="n">
        <f aca="false">AVERAGEIFS(Runs!$Q$2:$Q$61,Runs!$B$2:$B$61,$B15,Runs!$E$2:$E$61,$E15,Runs!$AW$2:$AW$61,1)</f>
        <v>6.02772958609625</v>
      </c>
      <c r="L15" s="10" t="n">
        <f aca="false">AVERAGEIFS(Runs!$Q$2:$Q$61,Runs!$B$2:$B$61,$B15,Runs!$E$2:$E$61,$F15,Runs!$AW$2:$AW$61,1)</f>
        <v>5.03659531555316</v>
      </c>
      <c r="M15" s="10" t="n">
        <f aca="false">EXP(L15-K15)</f>
        <v>0.371155461466219</v>
      </c>
      <c r="N15" s="11" t="n">
        <v>12</v>
      </c>
      <c r="O15" s="11" t="n">
        <v>12</v>
      </c>
      <c r="P15" s="11" t="n">
        <v>6.02773</v>
      </c>
      <c r="Q15" s="11" t="n">
        <v>5.0366</v>
      </c>
      <c r="R15" s="11" t="n">
        <v>0.371155</v>
      </c>
      <c r="S15" s="6" t="str">
        <f aca="false">IF(AND(I15=N15,J15=O15,ABS(K15-P15)&lt;=Settings!$B$9*MAX(1,ABS(P15)),ABS(L15-Q15)&lt;=Settings!$B$9*MAX(1,ABS(Q15)),ABS(M15-R15)&lt;=Settings!$B$9*MAX(1,ABS(R15))),"ok","CHECK")</f>
        <v>ok</v>
      </c>
      <c r="T15" s="9" t="s">
        <v>387</v>
      </c>
      <c r="U15" s="10" t="n">
        <f aca="false">EXP((L15-K15)-Settings!$B$7*AZ15)</f>
        <v>0.338844011361765</v>
      </c>
      <c r="V15" s="10" t="n">
        <f aca="false">EXP((L15-K15)+Settings!$B$7*AZ15)</f>
        <v>0.406548063289002</v>
      </c>
      <c r="W15" s="11" t="n">
        <v>0.338545</v>
      </c>
      <c r="X15" s="11" t="n">
        <v>0.405843</v>
      </c>
      <c r="Y15" s="10" t="n">
        <f aca="false">EXP((L15-K15)-Settings!$B$8*AZ15)</f>
        <v>0.343842360310486</v>
      </c>
      <c r="Z15" s="10" t="n">
        <f aca="false">EXP((L15-K15)+Settings!$B$8*AZ15)</f>
        <v>0.400638177482873</v>
      </c>
      <c r="AA15" s="11" t="n">
        <v>0.343361</v>
      </c>
      <c r="AB15" s="11" t="n">
        <v>0.400485</v>
      </c>
      <c r="AC15" s="6" t="str">
        <f aca="false">IF(AND(ABS(U15-W15)&lt;=Settings!$B$10*(X15-W15),ABS(V15-X15)&lt;=Settings!$B$10*(X15-W15),ABS(Y15-AA15)&lt;=Settings!$B$10*(AB15-AA15),ABS(Z15-AB15)&lt;=Settings!$B$10*(AB15-AA15)),"close","not close")</f>
        <v>close</v>
      </c>
      <c r="AD15" s="11" t="n">
        <v>9.999E-005</v>
      </c>
      <c r="AE15" s="11" t="n">
        <v>2.14335E-005</v>
      </c>
      <c r="AF15" s="9" t="n">
        <v>46656</v>
      </c>
      <c r="AG15" s="6" t="str">
        <f aca="false">IF(ABS(AD15-AE15)&lt;=3*SQRT(AE15*(1-AE15)/Settings!$B$6)+1/(Settings!$B$6+1),"ok","CHECK")</f>
        <v>ok</v>
      </c>
      <c r="AH15" s="10" t="n">
        <f aca="false">MIN(1,IF(AD15=MIN($AD$14,$AD$15,$AD$16),3*MIN($AD$14,$AD$15,$AD$16),IF(AD15&lt;MAX($AD$14,$AD$15,$AD$16),MAX(3*MIN($AD$14,$AD$15,$AD$16),2*AD15),MAX(3*MIN($AD$14,$AD$15,$AD$16),2*($AD$14+$AD$15+$AD$16-MIN($AD$14,$AD$15,$AD$16)-MAX($AD$14,$AD$15,$AD$16)),MAX($AD$14,$AD$15,$AD$16)))))</f>
        <v>0.00029997</v>
      </c>
      <c r="AI15" s="11" t="n">
        <v>0.00029997</v>
      </c>
      <c r="AJ15" s="6" t="str">
        <f aca="false">IF(ABS(AH15-AI15)&lt;=Settings!$B$9*MAX(1,ABS(AI15)),"ok","CHECK")</f>
        <v>ok</v>
      </c>
      <c r="AK15" s="6" t="str">
        <f aca="false">IF(AH15&lt;Settings!$B$2,"supported","not supported")</f>
        <v>supported</v>
      </c>
      <c r="AL15" s="9" t="s">
        <v>394</v>
      </c>
      <c r="AM15" s="6" t="str">
        <f aca="false">IF(AK15=AL15,"ok","CHECK")</f>
        <v>ok</v>
      </c>
      <c r="AN15" s="6"/>
      <c r="AO15" s="9"/>
      <c r="AP15" s="6" t="str">
        <f aca="false">IF(AO15="","ok","CHECK")</f>
        <v>ok</v>
      </c>
      <c r="AQ15" s="2"/>
      <c r="AR15" s="2"/>
      <c r="AS15" s="2"/>
      <c r="AT15" s="2"/>
      <c r="AU15" s="2"/>
      <c r="AV15" s="2"/>
      <c r="AW15" s="2"/>
      <c r="AX15" s="2"/>
      <c r="AY15" s="2"/>
      <c r="AZ15" s="10" t="n">
        <f aca="false">SQRT(SUMIFS(Runs!$AZ$2:$AZ$61,Runs!$B$2:$B$61,$B15,Runs!$E$2:$E$61,$E15)/I15^2+SUMIFS(Runs!$AZ$2:$AZ$61,Runs!$B$2:$B$61,$B15,Runs!$E$2:$E$61,$F15)/J15^2)</f>
        <v>0.0464708286229465</v>
      </c>
    </row>
    <row r="16" customFormat="false" ht="15" hidden="false" customHeight="false" outlineLevel="0" collapsed="false">
      <c r="A16" s="9" t="s">
        <v>379</v>
      </c>
      <c r="B16" s="9" t="s">
        <v>156</v>
      </c>
      <c r="C16" s="9" t="s">
        <v>390</v>
      </c>
      <c r="D16" s="9" t="s">
        <v>398</v>
      </c>
      <c r="E16" s="9" t="s">
        <v>111</v>
      </c>
      <c r="F16" s="9" t="s">
        <v>115</v>
      </c>
      <c r="G16" s="9" t="s">
        <v>396</v>
      </c>
      <c r="H16" s="9" t="s">
        <v>399</v>
      </c>
      <c r="I16" s="10" t="n">
        <f aca="false">COUNTIFS(Runs!$B$2:$B$61,$B16,Runs!$E$2:$E$61,$E16)</f>
        <v>12</v>
      </c>
      <c r="J16" s="10" t="n">
        <f aca="false">COUNTIFS(Runs!$B$2:$B$61,$B16,Runs!$E$2:$E$61,$F16)</f>
        <v>12</v>
      </c>
      <c r="K16" s="10" t="n">
        <f aca="false">AVERAGEIFS(Runs!$L$2:$L$61,Runs!$B$2:$B$61,$B16,Runs!$E$2:$E$61,$E16)</f>
        <v>0.666666666666667</v>
      </c>
      <c r="L16" s="10" t="n">
        <f aca="false">AVERAGEIFS(Runs!$L$2:$L$61,Runs!$B$2:$B$61,$B16,Runs!$E$2:$E$61,$F16)</f>
        <v>0</v>
      </c>
      <c r="M16" s="10" t="n">
        <f aca="false">L16-K16</f>
        <v>-0.666666666666667</v>
      </c>
      <c r="N16" s="11" t="n">
        <v>12</v>
      </c>
      <c r="O16" s="11" t="n">
        <v>12</v>
      </c>
      <c r="P16" s="11" t="n">
        <v>0.666667</v>
      </c>
      <c r="Q16" s="11" t="n">
        <v>0</v>
      </c>
      <c r="R16" s="11" t="n">
        <v>-0.666667</v>
      </c>
      <c r="S16" s="6" t="str">
        <f aca="false">IF(AND(I16=N16,J16=O16,ABS(K16-P16)&lt;=Settings!$B$9*MAX(1,ABS(P16)),ABS(L16-Q16)&lt;=Settings!$B$9*MAX(1,ABS(Q16)),ABS(M16-R16)&lt;=Settings!$B$9*MAX(1,ABS(R16))),"ok","CHECK")</f>
        <v>ok</v>
      </c>
      <c r="T16" s="9" t="s">
        <v>384</v>
      </c>
      <c r="U16" s="10" t="n">
        <f aca="false">(L16-K16)-SQRT((L16-AT16)^2+(AS16-K16)^2)</f>
        <v>-0.861879908908787</v>
      </c>
      <c r="V16" s="10" t="n">
        <f aca="false">(L16-K16)+SQRT((AU16-L16)^2+(K16-AR16)^2)</f>
        <v>-0.299237827034955</v>
      </c>
      <c r="W16" s="11" t="n">
        <v>-0.86188</v>
      </c>
      <c r="X16" s="11" t="n">
        <v>-0.299238</v>
      </c>
      <c r="Y16" s="10" t="n">
        <f aca="false">(L16-K16)-SQRT((L16-AX16)^2+(AW16-K16)^2)</f>
        <v>-0.840514655074159</v>
      </c>
      <c r="Z16" s="10" t="n">
        <f aca="false">(L16-K16)+SQRT((AY16-L16)^2+(K16-AV16)^2)</f>
        <v>-0.368076000827403</v>
      </c>
      <c r="AA16" s="11" t="n">
        <v>-0.840515</v>
      </c>
      <c r="AB16" s="11" t="n">
        <v>-0.368076</v>
      </c>
      <c r="AC16" s="6" t="str">
        <f aca="false">IF(AND(ABS(U16-W16)&lt;=Settings!$B$9*MAX(1,ABS(W16)),ABS(V16-X16)&lt;=Settings!$B$9*MAX(1,ABS(X16)),ABS(Y16-AA16)&lt;=Settings!$B$9*MAX(1,ABS(AA16)),ABS(Z16-AB16)&lt;=Settings!$B$9*MAX(1,ABS(AB16))),"ok","CHECK")</f>
        <v>ok</v>
      </c>
      <c r="AD16" s="11" t="n">
        <v>0.00179982</v>
      </c>
      <c r="AE16" s="11" t="n">
        <v>0.00173611</v>
      </c>
      <c r="AF16" s="9" t="n">
        <v>46656</v>
      </c>
      <c r="AG16" s="6" t="str">
        <f aca="false">IF(ABS(AD16-AE16)&lt;=3*SQRT(AE16*(1-AE16)/Settings!$B$6)+1/(Settings!$B$6+1),"ok","CHECK")</f>
        <v>ok</v>
      </c>
      <c r="AH16" s="10" t="n">
        <f aca="false">MIN(1,IF(AD16=MIN($AD$14,$AD$15,$AD$16),3*MIN($AD$14,$AD$15,$AD$16),IF(AD16&lt;MAX($AD$14,$AD$15,$AD$16),MAX(3*MIN($AD$14,$AD$15,$AD$16),2*AD16),MAX(3*MIN($AD$14,$AD$15,$AD$16),2*($AD$14+$AD$15+$AD$16-MIN($AD$14,$AD$15,$AD$16)-MAX($AD$14,$AD$15,$AD$16)),MAX($AD$14,$AD$15,$AD$16)))))</f>
        <v>0.00179982</v>
      </c>
      <c r="AI16" s="11" t="n">
        <v>0.00179982</v>
      </c>
      <c r="AJ16" s="6" t="str">
        <f aca="false">IF(ABS(AH16-AI16)&lt;=Settings!$B$9*MAX(1,ABS(AI16)),"ok","CHECK")</f>
        <v>ok</v>
      </c>
      <c r="AK16" s="6" t="str">
        <f aca="false">IF(AH16&lt;Settings!$B$2,"supported","not supported")</f>
        <v>supported</v>
      </c>
      <c r="AL16" s="9" t="s">
        <v>394</v>
      </c>
      <c r="AM16" s="6" t="str">
        <f aca="false">IF(AK16=AL16,"ok","CHECK")</f>
        <v>ok</v>
      </c>
      <c r="AN16" s="6"/>
      <c r="AO16" s="9"/>
      <c r="AP16" s="6" t="str">
        <f aca="false">IF(AO16="","ok","CHECK")</f>
        <v>ok</v>
      </c>
      <c r="AQ16" s="2"/>
      <c r="AR16" s="10" t="n">
        <f aca="false">MAX(0,(K16+Settings!$B$7^2/(2*I16))/(1+Settings!$B$7^2/I16)-Settings!$B$7*SQRT(K16*(1-K16)/I16+Settings!$B$7^2/(4*I16^2))/(1+Settings!$B$7^2/I16))</f>
        <v>0.3906220888728</v>
      </c>
      <c r="AS16" s="10" t="n">
        <f aca="false">MIN(1,(K16+Settings!$B$7^2/(2*I16))/(1+Settings!$B$7^2/I16)+Settings!$B$7*SQRT(K16*(1-K16)/I16+Settings!$B$7^2/(4*I16^2))/(1+Settings!$B$7^2/I16))</f>
        <v>0.861879908908787</v>
      </c>
      <c r="AT16" s="10" t="n">
        <f aca="false">MAX(0,(L16+Settings!$B$7^2/(2*J16))/(1+Settings!$B$7^2/J16)-Settings!$B$7*SQRT(L16*(1-L16)/J16+Settings!$B$7^2/(4*J16^2))/(1+Settings!$B$7^2/J16))</f>
        <v>0</v>
      </c>
      <c r="AU16" s="10" t="n">
        <f aca="false">MIN(1,(L16+Settings!$B$7^2/(2*J16))/(1+Settings!$B$7^2/J16)+Settings!$B$7*SQRT(L16*(1-L16)/J16+Settings!$B$7^2/(4*J16^2))/(1+Settings!$B$7^2/J16))</f>
        <v>0.242494006655241</v>
      </c>
      <c r="AV16" s="10" t="n">
        <f aca="false">MAX(0,(K16+Settings!$B$8^2/(2*I16))/(1+Settings!$B$8^2/I16)-Settings!$B$8*SQRT(K16*(1-K16)/I16+Settings!$B$8^2/(4*I16^2))/(1+Settings!$B$8^2/I16))</f>
        <v>0.431491613343348</v>
      </c>
      <c r="AW16" s="10" t="n">
        <f aca="false">MIN(1,(K16+Settings!$B$8^2/(2*I16))/(1+Settings!$B$8^2/I16)+Settings!$B$8*SQRT(K16*(1-K16)/I16+Settings!$B$8^2/(4*I16^2))/(1+Settings!$B$8^2/I16))</f>
        <v>0.840514655074159</v>
      </c>
      <c r="AX16" s="10" t="n">
        <f aca="false">MAX(0,(L16+Settings!$B$8^2/(2*J16))/(1+Settings!$B$8^2/J16)-Settings!$B$8*SQRT(L16*(1-L16)/J16+Settings!$B$8^2/(4*J16^2))/(1+Settings!$B$8^2/J16))</f>
        <v>0</v>
      </c>
      <c r="AY16" s="10" t="n">
        <f aca="false">MIN(1,(L16+Settings!$B$8^2/(2*J16))/(1+Settings!$B$8^2/J16)+Settings!$B$8*SQRT(L16*(1-L16)/J16+Settings!$B$8^2/(4*J16^2))/(1+Settings!$B$8^2/J16))</f>
        <v>0.183981194747477</v>
      </c>
      <c r="AZ16" s="2"/>
    </row>
    <row r="17" customFormat="false" ht="15" hidden="false" customHeight="false" outlineLevel="0" collapsed="false">
      <c r="A17" s="9" t="s">
        <v>402</v>
      </c>
      <c r="B17" s="9" t="s">
        <v>104</v>
      </c>
      <c r="C17" s="9" t="s">
        <v>380</v>
      </c>
      <c r="D17" s="9" t="s">
        <v>381</v>
      </c>
      <c r="E17" s="9" t="s">
        <v>111</v>
      </c>
      <c r="F17" s="9" t="s">
        <v>115</v>
      </c>
      <c r="G17" s="9" t="s">
        <v>382</v>
      </c>
      <c r="H17" s="9" t="s">
        <v>403</v>
      </c>
      <c r="I17" s="10" t="n">
        <f aca="false">COUNTIFS(Runs!$B$2:$B$61,$B17,Runs!$E$2:$E$61,$E17,Runs!$I$2:$I$61,0)</f>
        <v>10</v>
      </c>
      <c r="J17" s="10" t="n">
        <f aca="false">COUNTIFS(Runs!$B$2:$B$61,$B17,Runs!$E$2:$E$61,$F17,Runs!$I$2:$I$61,0)</f>
        <v>10</v>
      </c>
      <c r="K17" s="10" t="n">
        <f aca="false">AVERAGEIFS(Runs!$O$2:$O$61,Runs!$B$2:$B$61,$B17,Runs!$E$2:$E$61,$E17,Runs!$I$2:$I$61,0)</f>
        <v>0.4</v>
      </c>
      <c r="L17" s="10" t="n">
        <f aca="false">AVERAGEIFS(Runs!$O$2:$O$61,Runs!$B$2:$B$61,$B17,Runs!$E$2:$E$61,$F17,Runs!$I$2:$I$61,0)</f>
        <v>0.2</v>
      </c>
      <c r="M17" s="10" t="n">
        <f aca="false">L17-K17</f>
        <v>-0.2</v>
      </c>
      <c r="N17" s="11" t="n">
        <v>10</v>
      </c>
      <c r="O17" s="11" t="n">
        <v>10</v>
      </c>
      <c r="P17" s="11" t="n">
        <v>0.4</v>
      </c>
      <c r="Q17" s="11" t="n">
        <v>0.2</v>
      </c>
      <c r="R17" s="11" t="n">
        <v>-0.2</v>
      </c>
      <c r="S17" s="6" t="str">
        <f aca="false">IF(AND(I17=N17,J17=O17,ABS(K17-P17)&lt;=Settings!$B$9*MAX(1,ABS(P17)),ABS(L17-Q17)&lt;=Settings!$B$9*MAX(1,ABS(Q17)),ABS(M17-R17)&lt;=Settings!$B$9*MAX(1,ABS(R17))),"ok","CHECK")</f>
        <v>ok</v>
      </c>
      <c r="T17" s="9" t="s">
        <v>384</v>
      </c>
      <c r="U17" s="10" t="n">
        <f aca="false">(L17-K17)-SQRT((L17-AT17)^2+(AS17-K17)^2)</f>
        <v>-0.521086231892327</v>
      </c>
      <c r="V17" s="10" t="n">
        <f aca="false">(L17-K17)+SQRT((AU17-L17)^2+(K17-AR17)^2)</f>
        <v>0.186962082870391</v>
      </c>
      <c r="W17" s="11" t="n">
        <v>-0.521086</v>
      </c>
      <c r="X17" s="11" t="n">
        <v>0.186962</v>
      </c>
      <c r="Y17" s="10" t="n">
        <f aca="false">(L17-K17)-SQRT((L17-AX17)^2+(AW17-K17)^2)</f>
        <v>-0.480998912205177</v>
      </c>
      <c r="Z17" s="10" t="n">
        <f aca="false">(L17-K17)+SQRT((AY17-L17)^2+(K17-AV17)^2)</f>
        <v>0.130954529286779</v>
      </c>
      <c r="AA17" s="11" t="n">
        <v>-0.480999</v>
      </c>
      <c r="AB17" s="11" t="n">
        <v>0.130955</v>
      </c>
      <c r="AC17" s="6" t="str">
        <f aca="false">IF(AND(ABS(U17-W17)&lt;=Settings!$B$9*MAX(1,ABS(W17)),ABS(V17-X17)&lt;=Settings!$B$9*MAX(1,ABS(X17)),ABS(Y17-AA17)&lt;=Settings!$B$9*MAX(1,ABS(AA17)),ABS(Z17-AB17)&lt;=Settings!$B$9*MAX(1,ABS(AB17))),"ok","CHECK")</f>
        <v>ok</v>
      </c>
      <c r="AD17" s="11" t="n">
        <v>0.620938</v>
      </c>
      <c r="AE17" s="11" t="n">
        <v>0.617284</v>
      </c>
      <c r="AF17" s="9" t="n">
        <v>2916</v>
      </c>
      <c r="AG17" s="6" t="str">
        <f aca="false">IF(ABS(AD17-AE17)&lt;=3*SQRT(AE17*(1-AE17)/Settings!$B$6)+1/(Settings!$B$6+1),"ok","CHECK")</f>
        <v>ok</v>
      </c>
      <c r="AH17" s="10" t="n">
        <f aca="false">MIN(1,IF(AD17=MIN($AD$17,$AD$18,$AD$19),3*MIN($AD$17,$AD$18,$AD$19),IF(AD17&lt;MAX($AD$17,$AD$18,$AD$19),MAX(3*MIN($AD$17,$AD$18,$AD$19),2*AD17),MAX(3*MIN($AD$17,$AD$18,$AD$19),2*($AD$17+$AD$18+$AD$19-MIN($AD$17,$AD$18,$AD$19)-MAX($AD$17,$AD$18,$AD$19)),MAX($AD$17,$AD$18,$AD$19)))))</f>
        <v>0.620938</v>
      </c>
      <c r="AI17" s="11" t="n">
        <v>0.620938</v>
      </c>
      <c r="AJ17" s="6" t="str">
        <f aca="false">IF(ABS(AH17-AI17)&lt;=Settings!$B$9*MAX(1,ABS(AI17)),"ok","CHECK")</f>
        <v>ok</v>
      </c>
      <c r="AK17" s="6" t="str">
        <f aca="false">IF(AH17&lt;Settings!$B$2,"different",IF(AND(Y17&gt;-Settings!$B$3,Z17&lt;Settings!$B$3),"equivalent","undetermined"))</f>
        <v>undetermined</v>
      </c>
      <c r="AL17" s="9" t="s">
        <v>385</v>
      </c>
      <c r="AM17" s="6" t="str">
        <f aca="false">IF(AK17=AL17,"ok","CHECK")</f>
        <v>ok</v>
      </c>
      <c r="AN17" s="6" t="n">
        <f aca="false">IF(AK17="different","",MAX(ABS(AA17),ABS(AB17)))</f>
        <v>0.480999</v>
      </c>
      <c r="AO17" s="11" t="n">
        <v>0.480999</v>
      </c>
      <c r="AP17" s="6" t="str">
        <f aca="false">IF(IF(AND(ISNUMBER(AN17),ISNUMBER(AO17)),ABS(N(AN17)-N(AO17))&lt;=Settings!$B$9*MAX(1,ABS(N(AO17))),AND(AN17="",AO17="")),"ok","CHECK")</f>
        <v>ok</v>
      </c>
      <c r="AQ17" s="2"/>
      <c r="AR17" s="10" t="n">
        <f aca="false">MAX(0,(K17+Settings!$B$7^2/(2*I17))/(1+Settings!$B$7^2/I17)-Settings!$B$7*SQRT(K17*(1-K17)/I17+Settings!$B$7^2/(4*I17^2))/(1+Settings!$B$7^2/I17))</f>
        <v>0.168180329706236</v>
      </c>
      <c r="AS17" s="10" t="n">
        <f aca="false">MIN(1,(K17+Settings!$B$7^2/(2*I17))/(1+Settings!$B$7^2/I17)+Settings!$B$7*SQRT(K17*(1-K17)/I17+Settings!$B$7^2/(4*I17^2))/(1+Settings!$B$7^2/I17))</f>
        <v>0.687326230266342</v>
      </c>
      <c r="AT17" s="10" t="n">
        <f aca="false">MAX(0,(L17+Settings!$B$7^2/(2*J17))/(1+Settings!$B$7^2/J17)-Settings!$B$7*SQRT(L17*(1-L17)/J17+Settings!$B$7^2/(4*J17^2))/(1+Settings!$B$7^2/J17))</f>
        <v>0.0566821514543752</v>
      </c>
      <c r="AU17" s="10" t="n">
        <f aca="false">MIN(1,(L17+Settings!$B$7^2/(2*J17))/(1+Settings!$B$7^2/J17)+Settings!$B$7*SQRT(L17*(1-L17)/J17+Settings!$B$7^2/(4*J17^2))/(1+Settings!$B$7^2/J17))</f>
        <v>0.509837528463358</v>
      </c>
      <c r="AV17" s="10" t="n">
        <f aca="false">MAX(0,(K17+Settings!$B$8^2/(2*I17))/(1+Settings!$B$8^2/I17)-Settings!$B$8*SQRT(K17*(1-K17)/I17+Settings!$B$8^2/(4*I17^2))/(1+Settings!$B$8^2/I17))</f>
        <v>0.194226991876803</v>
      </c>
      <c r="AW17" s="10" t="n">
        <f aca="false">MIN(1,(K17+Settings!$B$8^2/(2*I17))/(1+Settings!$B$8^2/I17)+Settings!$B$8*SQRT(K17*(1-K17)/I17+Settings!$B$8^2/(4*I17^2))/(1+Settings!$B$8^2/I17))</f>
        <v>0.648361402139878</v>
      </c>
      <c r="AX17" s="10" t="n">
        <f aca="false">MAX(0,(L17+Settings!$B$8^2/(2*J17))/(1+Settings!$B$8^2/J17)-Settings!$B$8*SQRT(L17*(1-L17)/J17+Settings!$B$8^2/(4*J17^2))/(1+Settings!$B$8^2/J17))</f>
        <v>0.0685579877375321</v>
      </c>
      <c r="AY17" s="10" t="n">
        <f aca="false">MIN(1,(L17+Settings!$B$8^2/(2*J17))/(1+Settings!$B$8^2/J17)+Settings!$B$8*SQRT(L17*(1-L17)/J17+Settings!$B$8^2/(4*J17^2))/(1+Settings!$B$8^2/J17))</f>
        <v>0.459207194312512</v>
      </c>
      <c r="AZ17" s="2"/>
    </row>
    <row r="18" customFormat="false" ht="15" hidden="false" customHeight="false" outlineLevel="0" collapsed="false">
      <c r="A18" s="9" t="s">
        <v>402</v>
      </c>
      <c r="B18" s="9" t="s">
        <v>104</v>
      </c>
      <c r="C18" s="9" t="s">
        <v>380</v>
      </c>
      <c r="D18" s="9" t="s">
        <v>59</v>
      </c>
      <c r="E18" s="9" t="s">
        <v>111</v>
      </c>
      <c r="F18" s="9" t="s">
        <v>115</v>
      </c>
      <c r="G18" s="9" t="s">
        <v>382</v>
      </c>
      <c r="H18" s="9" t="s">
        <v>404</v>
      </c>
      <c r="I18" s="10" t="n">
        <f aca="false">COUNTIFS(Runs!$B$2:$B$61,$B18,Runs!$E$2:$E$61,$E18,Runs!$AK$2:$AK$61,1,Runs!$I$2:$I$61,0)</f>
        <v>6</v>
      </c>
      <c r="J18" s="10" t="n">
        <f aca="false">COUNTIFS(Runs!$B$2:$B$61,$B18,Runs!$E$2:$E$61,$F18,Runs!$AK$2:$AK$61,1,Runs!$I$2:$I$61,0)</f>
        <v>8</v>
      </c>
      <c r="K18" s="10" t="n">
        <f aca="false">AVERAGEIFS(Runs!$P$2:$P$61,Runs!$B$2:$B$61,$B18,Runs!$E$2:$E$61,$E18,Runs!$AK$2:$AK$61,1,Runs!$I$2:$I$61,0)</f>
        <v>4.32271009692886</v>
      </c>
      <c r="L18" s="10" t="n">
        <f aca="false">AVERAGEIFS(Runs!$P$2:$P$61,Runs!$B$2:$B$61,$B18,Runs!$E$2:$E$61,$F18,Runs!$AK$2:$AK$61,1,Runs!$I$2:$I$61,0)</f>
        <v>3.62150996446323</v>
      </c>
      <c r="M18" s="10" t="n">
        <f aca="false">EXP(L18-K18)</f>
        <v>0.495989693123718</v>
      </c>
      <c r="N18" s="11" t="n">
        <v>6</v>
      </c>
      <c r="O18" s="11" t="n">
        <v>8</v>
      </c>
      <c r="P18" s="11" t="n">
        <v>4.32271</v>
      </c>
      <c r="Q18" s="11" t="n">
        <v>3.62151</v>
      </c>
      <c r="R18" s="11" t="n">
        <v>0.49599</v>
      </c>
      <c r="S18" s="6" t="str">
        <f aca="false">IF(AND(I18=N18,J18=O18,ABS(K18-P18)&lt;=Settings!$B$9*MAX(1,ABS(P18)),ABS(L18-Q18)&lt;=Settings!$B$9*MAX(1,ABS(Q18)),ABS(M18-R18)&lt;=Settings!$B$9*MAX(1,ABS(R18))),"ok","CHECK")</f>
        <v>ok</v>
      </c>
      <c r="T18" s="9" t="s">
        <v>387</v>
      </c>
      <c r="U18" s="2"/>
      <c r="V18" s="2"/>
      <c r="W18" s="11" t="n">
        <v>0.32149</v>
      </c>
      <c r="X18" s="11" t="n">
        <v>0.765206</v>
      </c>
      <c r="Y18" s="2"/>
      <c r="Z18" s="2"/>
      <c r="AA18" s="11" t="n">
        <v>0.328058</v>
      </c>
      <c r="AB18" s="11" t="n">
        <v>0.749885</v>
      </c>
      <c r="AC18" s="6" t="s">
        <v>405</v>
      </c>
      <c r="AD18" s="11" t="n">
        <v>0.0451955</v>
      </c>
      <c r="AE18" s="11" t="n">
        <v>0.0486111</v>
      </c>
      <c r="AF18" s="9" t="n">
        <v>144</v>
      </c>
      <c r="AG18" s="6" t="str">
        <f aca="false">IF(ABS(AD18-AE18)&lt;=3*SQRT(AE18*(1-AE18)/Settings!$B$6)+1/(Settings!$B$6+1),"ok","CHECK")</f>
        <v>ok</v>
      </c>
      <c r="AH18" s="10" t="n">
        <f aca="false">MIN(1,IF(AD18=MIN($AD$17,$AD$18,$AD$19),3*MIN($AD$17,$AD$18,$AD$19),IF(AD18&lt;MAX($AD$17,$AD$18,$AD$19),MAX(3*MIN($AD$17,$AD$18,$AD$19),2*AD18),MAX(3*MIN($AD$17,$AD$18,$AD$19),2*($AD$17+$AD$18+$AD$19-MIN($AD$17,$AD$18,$AD$19)-MAX($AD$17,$AD$18,$AD$19)),MAX($AD$17,$AD$18,$AD$19)))))</f>
        <v>0.090891</v>
      </c>
      <c r="AI18" s="11" t="n">
        <v>0.0908909</v>
      </c>
      <c r="AJ18" s="6" t="str">
        <f aca="false">IF(ABS(AH18-AI18)&lt;=Settings!$B$9*MAX(1,ABS(AI18)),"ok","CHECK")</f>
        <v>ok</v>
      </c>
      <c r="AK18" s="6" t="str">
        <f aca="false">IF(AH18&lt;Settings!$B$2,"different",IF(AND(AA18&gt;Settings!$B$4,AB18&lt;Settings!$B$5),"equivalent","undetermined"))</f>
        <v>undetermined</v>
      </c>
      <c r="AL18" s="9" t="s">
        <v>385</v>
      </c>
      <c r="AM18" s="6" t="str">
        <f aca="false">IF(AK18=AL18,"ok","CHECK")</f>
        <v>ok</v>
      </c>
      <c r="AN18" s="6" t="n">
        <f aca="false">IF(AK18="different","",MAX(AB18,1/AA18))</f>
        <v>3.04824146949625</v>
      </c>
      <c r="AO18" s="11" t="n">
        <v>3.04824</v>
      </c>
      <c r="AP18" s="6" t="str">
        <f aca="false">IF(IF(AND(ISNUMBER(AN18),ISNUMBER(AO18)),ABS(N(AN18)-N(AO18))&lt;=Settings!$B$9*MAX(1,ABS(N(AO18))),AND(AN18="",AO18="")),"ok","CHECK")</f>
        <v>ok</v>
      </c>
      <c r="AQ18" s="2"/>
      <c r="AR18" s="2"/>
      <c r="AS18" s="2"/>
      <c r="AT18" s="2"/>
      <c r="AU18" s="2"/>
      <c r="AV18" s="2"/>
      <c r="AW18" s="2"/>
      <c r="AX18" s="2"/>
      <c r="AY18" s="2"/>
      <c r="AZ18" s="2"/>
    </row>
    <row r="19" customFormat="false" ht="15" hidden="false" customHeight="false" outlineLevel="0" collapsed="false">
      <c r="A19" s="9" t="s">
        <v>402</v>
      </c>
      <c r="B19" s="9" t="s">
        <v>104</v>
      </c>
      <c r="C19" s="9" t="s">
        <v>380</v>
      </c>
      <c r="D19" s="9" t="s">
        <v>69</v>
      </c>
      <c r="E19" s="9" t="s">
        <v>111</v>
      </c>
      <c r="F19" s="9" t="s">
        <v>115</v>
      </c>
      <c r="G19" s="9" t="s">
        <v>382</v>
      </c>
      <c r="H19" s="9" t="s">
        <v>406</v>
      </c>
      <c r="I19" s="10" t="n">
        <f aca="false">COUNTIFS(Runs!$B$2:$B$61,$B19,Runs!$E$2:$E$61,$E19,Runs!$AO$2:$AO$61,1,Runs!$I$2:$I$61,0)</f>
        <v>10</v>
      </c>
      <c r="J19" s="10" t="n">
        <f aca="false">COUNTIFS(Runs!$B$2:$B$61,$B19,Runs!$E$2:$E$61,$F19,Runs!$AO$2:$AO$61,1,Runs!$I$2:$I$61,0)</f>
        <v>10</v>
      </c>
      <c r="K19" s="10" t="n">
        <f aca="false">AVERAGEIFS(Runs!$R$2:$R$61,Runs!$B$2:$B$61,$B19,Runs!$E$2:$E$61,$E19,Runs!$AO$2:$AO$61,1,Runs!$I$2:$I$61,0)</f>
        <v>39.77</v>
      </c>
      <c r="L19" s="10" t="n">
        <f aca="false">AVERAGEIFS(Runs!$R$2:$R$61,Runs!$B$2:$B$61,$B19,Runs!$E$2:$E$61,$F19,Runs!$AO$2:$AO$61,1,Runs!$I$2:$I$61,0)</f>
        <v>82.787</v>
      </c>
      <c r="M19" s="10" t="n">
        <f aca="false">L19-K19</f>
        <v>43.017</v>
      </c>
      <c r="N19" s="11" t="n">
        <v>10</v>
      </c>
      <c r="O19" s="11" t="n">
        <v>10</v>
      </c>
      <c r="P19" s="11" t="n">
        <v>39.77</v>
      </c>
      <c r="Q19" s="11" t="n">
        <v>82.787</v>
      </c>
      <c r="R19" s="11" t="n">
        <v>43.017</v>
      </c>
      <c r="S19" s="6" t="str">
        <f aca="false">IF(AND(I19=N19,J19=O19,ABS(K19-P19)&lt;=Settings!$B$9*MAX(1,ABS(P19)),ABS(L19-Q19)&lt;=Settings!$B$9*MAX(1,ABS(Q19)),ABS(M19-R19)&lt;=Settings!$B$9*MAX(1,ABS(R19))),"ok","CHECK")</f>
        <v>ok</v>
      </c>
      <c r="T19" s="9" t="s">
        <v>387</v>
      </c>
      <c r="U19" s="2"/>
      <c r="V19" s="2"/>
      <c r="W19" s="11" t="n">
        <v>25.5345</v>
      </c>
      <c r="X19" s="11" t="n">
        <v>60.6268</v>
      </c>
      <c r="Y19" s="2"/>
      <c r="Z19" s="2"/>
      <c r="AA19" s="11" t="n">
        <v>26.6956</v>
      </c>
      <c r="AB19" s="11" t="n">
        <v>59.5789</v>
      </c>
      <c r="AC19" s="6" t="s">
        <v>405</v>
      </c>
      <c r="AD19" s="11" t="n">
        <v>0.030297</v>
      </c>
      <c r="AE19" s="11" t="n">
        <v>0.0281207</v>
      </c>
      <c r="AF19" s="9" t="n">
        <v>2916</v>
      </c>
      <c r="AG19" s="6" t="str">
        <f aca="false">IF(ABS(AD19-AE19)&lt;=3*SQRT(AE19*(1-AE19)/Settings!$B$6)+1/(Settings!$B$6+1),"ok","CHECK")</f>
        <v>ok</v>
      </c>
      <c r="AH19" s="10" t="n">
        <f aca="false">MIN(1,IF(AD19=MIN($AD$17,$AD$18,$AD$19),3*MIN($AD$17,$AD$18,$AD$19),IF(AD19&lt;MAX($AD$17,$AD$18,$AD$19),MAX(3*MIN($AD$17,$AD$18,$AD$19),2*AD19),MAX(3*MIN($AD$17,$AD$18,$AD$19),2*($AD$17+$AD$18+$AD$19-MIN($AD$17,$AD$18,$AD$19)-MAX($AD$17,$AD$18,$AD$19)),MAX($AD$17,$AD$18,$AD$19)))))</f>
        <v>0.090891</v>
      </c>
      <c r="AI19" s="11" t="n">
        <v>0.0908909</v>
      </c>
      <c r="AJ19" s="6" t="str">
        <f aca="false">IF(ABS(AH19-AI19)&lt;=Settings!$B$9*MAX(1,ABS(AI19)),"ok","CHECK")</f>
        <v>ok</v>
      </c>
      <c r="AK19" s="6" t="str">
        <f aca="false">IF(AH19&lt;Settings!$B$2,"different","undetermined")</f>
        <v>undetermined</v>
      </c>
      <c r="AL19" s="9" t="s">
        <v>385</v>
      </c>
      <c r="AM19" s="6" t="str">
        <f aca="false">IF(AK19=AL19,"ok","CHECK")</f>
        <v>ok</v>
      </c>
      <c r="AN19" s="6" t="n">
        <f aca="false">IF(AK19="different","",MAX(ABS(AA19),ABS(AB19)))</f>
        <v>59.5789</v>
      </c>
      <c r="AO19" s="11" t="n">
        <v>59.5789</v>
      </c>
      <c r="AP19" s="6" t="str">
        <f aca="false">IF(IF(AND(ISNUMBER(AN19),ISNUMBER(AO19)),ABS(N(AN19)-N(AO19))&lt;=Settings!$B$9*MAX(1,ABS(N(AO19))),AND(AN19="",AO19="")),"ok","CHECK")</f>
        <v>ok</v>
      </c>
      <c r="AQ19" s="2"/>
      <c r="AR19" s="2"/>
      <c r="AS19" s="2"/>
      <c r="AT19" s="2"/>
      <c r="AU19" s="2"/>
      <c r="AV19" s="2"/>
      <c r="AW19" s="2"/>
      <c r="AX19" s="2"/>
      <c r="AY19" s="2"/>
      <c r="AZ19" s="2"/>
    </row>
    <row r="20" customFormat="false" ht="15" hidden="false" customHeight="false" outlineLevel="0" collapsed="false">
      <c r="A20" s="9" t="s">
        <v>407</v>
      </c>
      <c r="B20" s="9" t="s">
        <v>104</v>
      </c>
      <c r="C20" s="9" t="s">
        <v>380</v>
      </c>
      <c r="D20" s="9" t="s">
        <v>69</v>
      </c>
      <c r="E20" s="9" t="s">
        <v>111</v>
      </c>
      <c r="F20" s="9" t="s">
        <v>115</v>
      </c>
      <c r="G20" s="9" t="s">
        <v>382</v>
      </c>
      <c r="H20" s="9" t="s">
        <v>408</v>
      </c>
      <c r="I20" s="10" t="n">
        <f aca="false">COUNTIFS(Runs!$B$2:$B$61,$B20,Runs!$E$2:$E$61,$E20,Runs!$AO$2:$AO$61,1)</f>
        <v>12</v>
      </c>
      <c r="J20" s="10" t="n">
        <f aca="false">COUNTIFS(Runs!$B$2:$B$61,$B20,Runs!$E$2:$E$61,$F20,Runs!$AO$2:$AO$61,1)</f>
        <v>12</v>
      </c>
      <c r="K20" s="10" t="n">
        <f aca="false">AVERAGEIFS(Runs!$S$2:$S$61,Runs!$B$2:$B$61,$B20,Runs!$E$2:$E$61,$E20,Runs!$AO$2:$AO$61,1)</f>
        <v>41.1416666666667</v>
      </c>
      <c r="L20" s="10" t="n">
        <f aca="false">AVERAGEIFS(Runs!$S$2:$S$61,Runs!$B$2:$B$61,$B20,Runs!$E$2:$E$61,$F20,Runs!$AO$2:$AO$61,1)</f>
        <v>53.6241666666667</v>
      </c>
      <c r="M20" s="10" t="n">
        <f aca="false">L20-K20</f>
        <v>12.4825</v>
      </c>
      <c r="N20" s="11" t="n">
        <v>12</v>
      </c>
      <c r="O20" s="11" t="n">
        <v>12</v>
      </c>
      <c r="P20" s="11" t="n">
        <v>41.1417</v>
      </c>
      <c r="Q20" s="11" t="n">
        <v>53.6242</v>
      </c>
      <c r="R20" s="11" t="n">
        <v>12.4825</v>
      </c>
      <c r="S20" s="6" t="str">
        <f aca="false">IF(AND(I20=N20,J20=O20,ABS(K20-P20)&lt;=Settings!$B$9*MAX(1,ABS(P20)),ABS(L20-Q20)&lt;=Settings!$B$9*MAX(1,ABS(Q20)),ABS(M20-R20)&lt;=Settings!$B$9*MAX(1,ABS(R20))),"ok","CHECK")</f>
        <v>ok</v>
      </c>
      <c r="T20" s="9" t="s">
        <v>387</v>
      </c>
      <c r="U20" s="2"/>
      <c r="V20" s="2"/>
      <c r="W20" s="11" t="n">
        <v>-23.0407</v>
      </c>
      <c r="X20" s="11" t="n">
        <v>47.4972</v>
      </c>
      <c r="Y20" s="2"/>
      <c r="Z20" s="2"/>
      <c r="AA20" s="11" t="n">
        <v>-19.3373</v>
      </c>
      <c r="AB20" s="11" t="n">
        <v>43.8309</v>
      </c>
      <c r="AC20" s="6" t="s">
        <v>405</v>
      </c>
      <c r="AD20" s="11" t="n">
        <v>0.580042</v>
      </c>
      <c r="AE20" s="11" t="n">
        <v>0.578189</v>
      </c>
      <c r="AF20" s="9" t="n">
        <v>46656</v>
      </c>
      <c r="AG20" s="6" t="str">
        <f aca="false">IF(ABS(AD20-AE20)&lt;=3*SQRT(AE20*(1-AE20)/Settings!$B$6)+1/(Settings!$B$6+1),"ok","CHECK")</f>
        <v>ok</v>
      </c>
      <c r="AH20" s="10" t="n">
        <f aca="false">MIN(1,IF(AD20=MIN($AD$2,$AD$3,AD20),3*MIN($AD$2,$AD$3,AD20),IF(AD20&lt;MAX($AD$2,$AD$3,AD20),MAX(3*MIN($AD$2,$AD$3,AD20),2*AD20),MAX(3*MIN($AD$2,$AD$3,AD20),2*($AD$2+$AD$3+AD20-MIN($AD$2,$AD$3,AD20)-MAX($AD$2,$AD$3,AD20)),MAX($AD$2,$AD$3,AD20)))))</f>
        <v>0.580042</v>
      </c>
      <c r="AI20" s="11" t="n">
        <v>0.580042</v>
      </c>
      <c r="AJ20" s="6" t="str">
        <f aca="false">IF(ABS(AH20-AI20)&lt;=Settings!$B$9*MAX(1,ABS(AI20)),"ok","CHECK")</f>
        <v>ok</v>
      </c>
      <c r="AK20" s="6" t="str">
        <f aca="false">IF(AH20&lt;Settings!$B$2,"different","undetermined")</f>
        <v>undetermined</v>
      </c>
      <c r="AL20" s="9" t="s">
        <v>385</v>
      </c>
      <c r="AM20" s="6" t="str">
        <f aca="false">IF(AK20=AL20,"ok","CHECK")</f>
        <v>ok</v>
      </c>
      <c r="AN20" s="6" t="n">
        <f aca="false">IF(AK20="different","",MAX(ABS(AA20),ABS(AB20)))</f>
        <v>43.8309</v>
      </c>
      <c r="AO20" s="11" t="n">
        <v>43.8309</v>
      </c>
      <c r="AP20" s="6" t="str">
        <f aca="false">IF(IF(AND(ISNUMBER(AN20),ISNUMBER(AO20)),ABS(N(AN20)-N(AO20))&lt;=Settings!$B$9*MAX(1,ABS(N(AO20))),AND(AN20="",AO20="")),"ok","CHECK")</f>
        <v>ok</v>
      </c>
      <c r="AQ20" s="2"/>
      <c r="AR20" s="2"/>
      <c r="AS20" s="2"/>
      <c r="AT20" s="2"/>
      <c r="AU20" s="2"/>
      <c r="AV20" s="2"/>
      <c r="AW20" s="2"/>
      <c r="AX20" s="2"/>
      <c r="AY20" s="2"/>
      <c r="AZ20" s="2"/>
    </row>
    <row r="21" customFormat="false" ht="15" hidden="false" customHeight="false" outlineLevel="0" collapsed="false">
      <c r="A21" s="9" t="s">
        <v>407</v>
      </c>
      <c r="B21" s="9" t="s">
        <v>104</v>
      </c>
      <c r="C21" s="9" t="s">
        <v>389</v>
      </c>
      <c r="D21" s="9" t="s">
        <v>69</v>
      </c>
      <c r="E21" s="9" t="s">
        <v>107</v>
      </c>
      <c r="F21" s="9" t="s">
        <v>111</v>
      </c>
      <c r="G21" s="9" t="s">
        <v>382</v>
      </c>
      <c r="H21" s="9" t="s">
        <v>408</v>
      </c>
      <c r="I21" s="10" t="n">
        <f aca="false">COUNTIFS(Runs!$B$2:$B$61,$B21,Runs!$E$2:$E$61,$E21,Runs!$AO$2:$AO$61,1)</f>
        <v>12</v>
      </c>
      <c r="J21" s="10" t="n">
        <f aca="false">COUNTIFS(Runs!$B$2:$B$61,$B21,Runs!$E$2:$E$61,$F21,Runs!$AO$2:$AO$61,1)</f>
        <v>12</v>
      </c>
      <c r="K21" s="10" t="n">
        <f aca="false">AVERAGEIFS(Runs!$S$2:$S$61,Runs!$B$2:$B$61,$B21,Runs!$E$2:$E$61,$E21,Runs!$AO$2:$AO$61,1)</f>
        <v>48.8333333333333</v>
      </c>
      <c r="L21" s="10" t="n">
        <f aca="false">AVERAGEIFS(Runs!$S$2:$S$61,Runs!$B$2:$B$61,$B21,Runs!$E$2:$E$61,$F21,Runs!$AO$2:$AO$61,1)</f>
        <v>41.1416666666667</v>
      </c>
      <c r="M21" s="10" t="n">
        <f aca="false">L21-K21</f>
        <v>-7.69166666666667</v>
      </c>
      <c r="N21" s="11" t="n">
        <v>12</v>
      </c>
      <c r="O21" s="11" t="n">
        <v>12</v>
      </c>
      <c r="P21" s="11" t="n">
        <v>48.8333</v>
      </c>
      <c r="Q21" s="11" t="n">
        <v>41.1417</v>
      </c>
      <c r="R21" s="11" t="n">
        <v>-7.69167</v>
      </c>
      <c r="S21" s="6" t="str">
        <f aca="false">IF(AND(I21=N21,J21=O21,ABS(K21-P21)&lt;=Settings!$B$9*MAX(1,ABS(P21)),ABS(L21-Q21)&lt;=Settings!$B$9*MAX(1,ABS(Q21)),ABS(M21-R21)&lt;=Settings!$B$9*MAX(1,ABS(R21))),"ok","CHECK")</f>
        <v>ok</v>
      </c>
      <c r="T21" s="9" t="s">
        <v>387</v>
      </c>
      <c r="U21" s="2"/>
      <c r="V21" s="2"/>
      <c r="W21" s="11" t="n">
        <v>-41.2922</v>
      </c>
      <c r="X21" s="11" t="n">
        <v>25.7427</v>
      </c>
      <c r="Y21" s="2"/>
      <c r="Z21" s="2"/>
      <c r="AA21" s="11" t="n">
        <v>-37.3905</v>
      </c>
      <c r="AB21" s="11" t="n">
        <v>20.6205</v>
      </c>
      <c r="AC21" s="6" t="s">
        <v>405</v>
      </c>
      <c r="AD21" s="11" t="n">
        <v>0.690931</v>
      </c>
      <c r="AE21" s="11" t="n">
        <v>0.684842</v>
      </c>
      <c r="AF21" s="9" t="n">
        <v>46656</v>
      </c>
      <c r="AG21" s="6" t="str">
        <f aca="false">IF(ABS(AD21-AE21)&lt;=3*SQRT(AE21*(1-AE21)/Settings!$B$6)+1/(Settings!$B$6+1),"ok","CHECK")</f>
        <v>ok</v>
      </c>
      <c r="AH21" s="10" t="n">
        <f aca="false">MIN(1,IF(AD21=MIN($AD$5,$AD$6,AD21),3*MIN($AD$5,$AD$6,AD21),IF(AD21&lt;MAX($AD$5,$AD$6,AD21),MAX(3*MIN($AD$5,$AD$6,AD21),2*AD21),MAX(3*MIN($AD$5,$AD$6,AD21),2*($AD$5+$AD$6+AD21-MIN($AD$5,$AD$6,AD21)-MAX($AD$5,$AD$6,AD21)),MAX($AD$5,$AD$6,AD21)))))</f>
        <v>1</v>
      </c>
      <c r="AI21" s="11" t="n">
        <v>1</v>
      </c>
      <c r="AJ21" s="6" t="str">
        <f aca="false">IF(ABS(AH21-AI21)&lt;=Settings!$B$9*MAX(1,ABS(AI21)),"ok","CHECK")</f>
        <v>ok</v>
      </c>
      <c r="AK21" s="6" t="str">
        <f aca="false">IF(AH21&lt;Settings!$B$2,"different","undetermined")</f>
        <v>undetermined</v>
      </c>
      <c r="AL21" s="9" t="s">
        <v>385</v>
      </c>
      <c r="AM21" s="6" t="str">
        <f aca="false">IF(AK21=AL21,"ok","CHECK")</f>
        <v>ok</v>
      </c>
      <c r="AN21" s="6" t="n">
        <f aca="false">IF(AK21="different","",MAX(ABS(AA21),ABS(AB21)))</f>
        <v>37.3905</v>
      </c>
      <c r="AO21" s="11" t="n">
        <v>37.3905</v>
      </c>
      <c r="AP21" s="6" t="str">
        <f aca="false">IF(IF(AND(ISNUMBER(AN21),ISNUMBER(AO21)),ABS(N(AN21)-N(AO21))&lt;=Settings!$B$9*MAX(1,ABS(N(AO21))),AND(AN21="",AO21="")),"ok","CHECK")</f>
        <v>ok</v>
      </c>
      <c r="AQ21" s="2"/>
      <c r="AR21" s="2"/>
      <c r="AS21" s="2"/>
      <c r="AT21" s="2"/>
      <c r="AU21" s="2"/>
      <c r="AV21" s="2"/>
      <c r="AW21" s="2"/>
      <c r="AX21" s="2"/>
      <c r="AY21" s="2"/>
      <c r="AZ21" s="2"/>
    </row>
    <row r="22" customFormat="false" ht="15" hidden="false" customHeight="false" outlineLevel="0" collapsed="false">
      <c r="A22" s="9" t="s">
        <v>402</v>
      </c>
      <c r="B22" s="9" t="s">
        <v>156</v>
      </c>
      <c r="C22" s="9" t="s">
        <v>380</v>
      </c>
      <c r="D22" s="9" t="s">
        <v>381</v>
      </c>
      <c r="E22" s="9" t="s">
        <v>111</v>
      </c>
      <c r="F22" s="9" t="s">
        <v>115</v>
      </c>
      <c r="G22" s="9" t="s">
        <v>382</v>
      </c>
      <c r="H22" s="9" t="s">
        <v>403</v>
      </c>
      <c r="I22" s="10" t="n">
        <f aca="false">COUNTIFS(Runs!$B$2:$B$61,$B22,Runs!$E$2:$E$61,$E22,Runs!$I$2:$I$61,0)</f>
        <v>10</v>
      </c>
      <c r="J22" s="10" t="n">
        <f aca="false">COUNTIFS(Runs!$B$2:$B$61,$B22,Runs!$E$2:$E$61,$F22,Runs!$I$2:$I$61,0)</f>
        <v>8</v>
      </c>
      <c r="K22" s="10" t="n">
        <f aca="false">AVERAGEIFS(Runs!$O$2:$O$61,Runs!$B$2:$B$61,$B22,Runs!$E$2:$E$61,$E22,Runs!$I$2:$I$61,0)</f>
        <v>0.2</v>
      </c>
      <c r="L22" s="10" t="n">
        <f aca="false">AVERAGEIFS(Runs!$O$2:$O$61,Runs!$B$2:$B$61,$B22,Runs!$E$2:$E$61,$F22,Runs!$I$2:$I$61,0)</f>
        <v>0</v>
      </c>
      <c r="M22" s="10" t="n">
        <f aca="false">L22-K22</f>
        <v>-0.2</v>
      </c>
      <c r="N22" s="11" t="n">
        <v>10</v>
      </c>
      <c r="O22" s="11" t="n">
        <v>8</v>
      </c>
      <c r="P22" s="11" t="n">
        <v>0.2</v>
      </c>
      <c r="Q22" s="11" t="n">
        <v>0</v>
      </c>
      <c r="R22" s="11" t="n">
        <v>-0.2</v>
      </c>
      <c r="S22" s="6" t="str">
        <f aca="false">IF(AND(I22=N22,J22=O22,ABS(K22-P22)&lt;=Settings!$B$9*MAX(1,ABS(P22)),ABS(L22-Q22)&lt;=Settings!$B$9*MAX(1,ABS(Q22)),ABS(M22-R22)&lt;=Settings!$B$9*MAX(1,ABS(R22))),"ok","CHECK")</f>
        <v>ok</v>
      </c>
      <c r="T22" s="9" t="s">
        <v>384</v>
      </c>
      <c r="U22" s="10" t="n">
        <f aca="false">(L22-K22)-SQRT((L22-AT22)^2+(AS22-K22)^2)</f>
        <v>-0.509837528463358</v>
      </c>
      <c r="V22" s="10" t="n">
        <f aca="false">(L22-K22)+SQRT((AU22-L22)^2+(K22-AR22)^2)</f>
        <v>0.154655147806479</v>
      </c>
      <c r="W22" s="11" t="n">
        <v>-0.509838</v>
      </c>
      <c r="X22" s="11" t="n">
        <v>0.154655</v>
      </c>
      <c r="Y22" s="10" t="n">
        <f aca="false">(L22-K22)-SQRT((L22-AX22)^2+(AW22-K22)^2)</f>
        <v>-0.459207194312512</v>
      </c>
      <c r="Z22" s="10" t="n">
        <f aca="false">(L22-K22)+SQRT((AY22-L22)^2+(K22-AV22)^2)</f>
        <v>0.0848617546853474</v>
      </c>
      <c r="AA22" s="11" t="n">
        <v>-0.459207</v>
      </c>
      <c r="AB22" s="11" t="n">
        <v>0.0848618</v>
      </c>
      <c r="AC22" s="6" t="str">
        <f aca="false">IF(AND(ABS(U22-W22)&lt;=Settings!$B$9*MAX(1,ABS(W22)),ABS(V22-X22)&lt;=Settings!$B$9*MAX(1,ABS(X22)),ABS(Y22-AA22)&lt;=Settings!$B$9*MAX(1,ABS(AA22)),ABS(Z22-AB22)&lt;=Settings!$B$9*MAX(1,ABS(AB22))),"ok","CHECK")</f>
        <v>ok</v>
      </c>
      <c r="AD22" s="11" t="n">
        <v>0.506349</v>
      </c>
      <c r="AE22" s="11" t="n">
        <v>0.5</v>
      </c>
      <c r="AF22" s="9" t="n">
        <v>1296</v>
      </c>
      <c r="AG22" s="6" t="str">
        <f aca="false">IF(ABS(AD22-AE22)&lt;=3*SQRT(AE22*(1-AE22)/Settings!$B$6)+1/(Settings!$B$6+1),"ok","CHECK")</f>
        <v>ok</v>
      </c>
      <c r="AH22" s="10" t="n">
        <f aca="false">MIN(1,IF(AD22=MIN($AD$22,$AD$23,$AD$24),3*MIN($AD$22,$AD$23,$AD$24),IF(AD22&lt;MAX($AD$22,$AD$23,$AD$24),MAX(3*MIN($AD$22,$AD$23,$AD$24),2*AD22),MAX(3*MIN($AD$22,$AD$23,$AD$24),2*($AD$22+$AD$23+$AD$24-MIN($AD$22,$AD$23,$AD$24)-MAX($AD$22,$AD$23,$AD$24)),MAX($AD$22,$AD$23,$AD$24)))))</f>
        <v>0.771522</v>
      </c>
      <c r="AI22" s="11" t="n">
        <v>0.771523</v>
      </c>
      <c r="AJ22" s="6" t="str">
        <f aca="false">IF(ABS(AH22-AI22)&lt;=Settings!$B$9*MAX(1,ABS(AI22)),"ok","CHECK")</f>
        <v>ok</v>
      </c>
      <c r="AK22" s="6" t="str">
        <f aca="false">IF(AH22&lt;Settings!$B$2,"different",IF(AND(Y22&gt;-Settings!$B$3,Z22&lt;Settings!$B$3),"equivalent","undetermined"))</f>
        <v>undetermined</v>
      </c>
      <c r="AL22" s="9" t="s">
        <v>385</v>
      </c>
      <c r="AM22" s="6" t="str">
        <f aca="false">IF(AK22=AL22,"ok","CHECK")</f>
        <v>ok</v>
      </c>
      <c r="AN22" s="6" t="n">
        <f aca="false">IF(AK22="different","",MAX(ABS(AA22),ABS(AB22)))</f>
        <v>0.459207</v>
      </c>
      <c r="AO22" s="11" t="n">
        <v>0.459207</v>
      </c>
      <c r="AP22" s="6" t="str">
        <f aca="false">IF(IF(AND(ISNUMBER(AN22),ISNUMBER(AO22)),ABS(N(AN22)-N(AO22))&lt;=Settings!$B$9*MAX(1,ABS(N(AO22))),AND(AN22="",AO22="")),"ok","CHECK")</f>
        <v>ok</v>
      </c>
      <c r="AQ22" s="2"/>
      <c r="AR22" s="10" t="n">
        <f aca="false">MAX(0,(K22+Settings!$B$7^2/(2*I22))/(1+Settings!$B$7^2/I22)-Settings!$B$7*SQRT(K22*(1-K22)/I22+Settings!$B$7^2/(4*I22^2))/(1+Settings!$B$7^2/I22))</f>
        <v>0.0566821514543752</v>
      </c>
      <c r="AS22" s="10" t="n">
        <f aca="false">MIN(1,(K22+Settings!$B$7^2/(2*I22))/(1+Settings!$B$7^2/I22)+Settings!$B$7*SQRT(K22*(1-K22)/I22+Settings!$B$7^2/(4*I22^2))/(1+Settings!$B$7^2/I22))</f>
        <v>0.509837528463358</v>
      </c>
      <c r="AT22" s="10" t="n">
        <f aca="false">MAX(0,(L22+Settings!$B$7^2/(2*J22))/(1+Settings!$B$7^2/J22)-Settings!$B$7*SQRT(L22*(1-L22)/J22+Settings!$B$7^2/(4*J22^2))/(1+Settings!$B$7^2/J22))</f>
        <v>0</v>
      </c>
      <c r="AU22" s="10" t="n">
        <f aca="false">MIN(1,(L22+Settings!$B$7^2/(2*J22))/(1+Settings!$B$7^2/J22)+Settings!$B$7*SQRT(L22*(1-L22)/J22+Settings!$B$7^2/(4*J22^2))/(1+Settings!$B$7^2/J22))</f>
        <v>0.32440756488388</v>
      </c>
      <c r="AV22" s="10" t="n">
        <f aca="false">MAX(0,(K22+Settings!$B$8^2/(2*I22))/(1+Settings!$B$8^2/I22)-Settings!$B$8*SQRT(K22*(1-K22)/I22+Settings!$B$8^2/(4*I22^2))/(1+Settings!$B$8^2/I22))</f>
        <v>0.0685579877375321</v>
      </c>
      <c r="AW22" s="10" t="n">
        <f aca="false">MIN(1,(K22+Settings!$B$8^2/(2*I22))/(1+Settings!$B$8^2/I22)+Settings!$B$8*SQRT(K22*(1-K22)/I22+Settings!$B$8^2/(4*I22^2))/(1+Settings!$B$8^2/I22))</f>
        <v>0.459207194312512</v>
      </c>
      <c r="AX22" s="10" t="n">
        <f aca="false">MAX(0,(L22+Settings!$B$8^2/(2*J22))/(1+Settings!$B$8^2/J22)-Settings!$B$8*SQRT(L22*(1-L22)/J22+Settings!$B$8^2/(4*J22^2))/(1+Settings!$B$8^2/J22))</f>
        <v>0</v>
      </c>
      <c r="AY22" s="10" t="n">
        <f aca="false">MIN(1,(L22+Settings!$B$8^2/(2*J22))/(1+Settings!$B$8^2/J22)+Settings!$B$8*SQRT(L22*(1-L22)/J22+Settings!$B$8^2/(4*J22^2))/(1+Settings!$B$8^2/J22))</f>
        <v>0.252723597423763</v>
      </c>
      <c r="AZ22" s="2"/>
    </row>
    <row r="23" customFormat="false" ht="15" hidden="false" customHeight="false" outlineLevel="0" collapsed="false">
      <c r="A23" s="9" t="s">
        <v>402</v>
      </c>
      <c r="B23" s="9" t="s">
        <v>156</v>
      </c>
      <c r="C23" s="9" t="s">
        <v>380</v>
      </c>
      <c r="D23" s="9" t="s">
        <v>59</v>
      </c>
      <c r="E23" s="9" t="s">
        <v>111</v>
      </c>
      <c r="F23" s="9" t="s">
        <v>115</v>
      </c>
      <c r="G23" s="9" t="s">
        <v>382</v>
      </c>
      <c r="H23" s="9" t="s">
        <v>404</v>
      </c>
      <c r="I23" s="10" t="n">
        <f aca="false">COUNTIFS(Runs!$B$2:$B$61,$B23,Runs!$E$2:$E$61,$E23,Runs!$AK$2:$AK$61,1,Runs!$I$2:$I$61,0)</f>
        <v>8</v>
      </c>
      <c r="J23" s="10" t="n">
        <f aca="false">COUNTIFS(Runs!$B$2:$B$61,$B23,Runs!$E$2:$E$61,$F23,Runs!$AK$2:$AK$61,1,Runs!$I$2:$I$61,0)</f>
        <v>8</v>
      </c>
      <c r="K23" s="10" t="n">
        <f aca="false">AVERAGEIFS(Runs!$P$2:$P$61,Runs!$B$2:$B$61,$B23,Runs!$E$2:$E$61,$E23,Runs!$AK$2:$AK$61,1,Runs!$I$2:$I$61,0)</f>
        <v>3.9897638567719</v>
      </c>
      <c r="L23" s="10" t="n">
        <f aca="false">AVERAGEIFS(Runs!$P$2:$P$61,Runs!$B$2:$B$61,$B23,Runs!$E$2:$E$61,$F23,Runs!$AK$2:$AK$61,1,Runs!$I$2:$I$61,0)</f>
        <v>3.75796337036575</v>
      </c>
      <c r="M23" s="10" t="n">
        <f aca="false">EXP(L23-K23)</f>
        <v>0.793104342620405</v>
      </c>
      <c r="N23" s="11" t="n">
        <v>8</v>
      </c>
      <c r="O23" s="11" t="n">
        <v>8</v>
      </c>
      <c r="P23" s="11" t="n">
        <v>3.98976</v>
      </c>
      <c r="Q23" s="11" t="n">
        <v>3.75796</v>
      </c>
      <c r="R23" s="11" t="n">
        <v>0.793104</v>
      </c>
      <c r="S23" s="6" t="str">
        <f aca="false">IF(AND(I23=N23,J23=O23,ABS(K23-P23)&lt;=Settings!$B$9*MAX(1,ABS(P23)),ABS(L23-Q23)&lt;=Settings!$B$9*MAX(1,ABS(Q23)),ABS(M23-R23)&lt;=Settings!$B$9*MAX(1,ABS(R23))),"ok","CHECK")</f>
        <v>ok</v>
      </c>
      <c r="T23" s="9" t="s">
        <v>387</v>
      </c>
      <c r="U23" s="2"/>
      <c r="V23" s="2"/>
      <c r="W23" s="11" t="n">
        <v>0.626408</v>
      </c>
      <c r="X23" s="11" t="n">
        <v>1.00416</v>
      </c>
      <c r="Y23" s="2"/>
      <c r="Z23" s="2"/>
      <c r="AA23" s="11" t="n">
        <v>0.641622</v>
      </c>
      <c r="AB23" s="11" t="n">
        <v>0.980351</v>
      </c>
      <c r="AC23" s="6" t="s">
        <v>405</v>
      </c>
      <c r="AD23" s="11" t="n">
        <v>0.385761</v>
      </c>
      <c r="AE23" s="11" t="n">
        <v>0.384259</v>
      </c>
      <c r="AF23" s="9" t="n">
        <v>432</v>
      </c>
      <c r="AG23" s="6" t="str">
        <f aca="false">IF(ABS(AD23-AE23)&lt;=3*SQRT(AE23*(1-AE23)/Settings!$B$6)+1/(Settings!$B$6+1),"ok","CHECK")</f>
        <v>ok</v>
      </c>
      <c r="AH23" s="10" t="n">
        <f aca="false">MIN(1,IF(AD23=MIN($AD$22,$AD$23,$AD$24),3*MIN($AD$22,$AD$23,$AD$24),IF(AD23&lt;MAX($AD$22,$AD$23,$AD$24),MAX(3*MIN($AD$22,$AD$23,$AD$24),2*AD23),MAX(3*MIN($AD$22,$AD$23,$AD$24),2*($AD$22+$AD$23+$AD$24-MIN($AD$22,$AD$23,$AD$24)-MAX($AD$22,$AD$23,$AD$24)),MAX($AD$22,$AD$23,$AD$24)))))</f>
        <v>0.771522</v>
      </c>
      <c r="AI23" s="11" t="n">
        <v>0.771523</v>
      </c>
      <c r="AJ23" s="6" t="str">
        <f aca="false">IF(ABS(AH23-AI23)&lt;=Settings!$B$9*MAX(1,ABS(AI23)),"ok","CHECK")</f>
        <v>ok</v>
      </c>
      <c r="AK23" s="6" t="str">
        <f aca="false">IF(AH23&lt;Settings!$B$2,"different",IF(AND(AA23&gt;Settings!$B$4,AB23&lt;Settings!$B$5),"equivalent","undetermined"))</f>
        <v>undetermined</v>
      </c>
      <c r="AL23" s="9" t="s">
        <v>385</v>
      </c>
      <c r="AM23" s="6" t="str">
        <f aca="false">IF(AK23=AL23,"ok","CHECK")</f>
        <v>ok</v>
      </c>
      <c r="AN23" s="6" t="n">
        <f aca="false">IF(AK23="different","",MAX(AB23,1/AA23))</f>
        <v>1.55855004971775</v>
      </c>
      <c r="AO23" s="11" t="n">
        <v>1.55855</v>
      </c>
      <c r="AP23" s="6" t="str">
        <f aca="false">IF(IF(AND(ISNUMBER(AN23),ISNUMBER(AO23)),ABS(N(AN23)-N(AO23))&lt;=Settings!$B$9*MAX(1,ABS(N(AO23))),AND(AN23="",AO23="")),"ok","CHECK")</f>
        <v>ok</v>
      </c>
      <c r="AQ23" s="2"/>
      <c r="AR23" s="2"/>
      <c r="AS23" s="2"/>
      <c r="AT23" s="2"/>
      <c r="AU23" s="2"/>
      <c r="AV23" s="2"/>
      <c r="AW23" s="2"/>
      <c r="AX23" s="2"/>
      <c r="AY23" s="2"/>
      <c r="AZ23" s="2"/>
    </row>
    <row r="24" customFormat="false" ht="15" hidden="false" customHeight="false" outlineLevel="0" collapsed="false">
      <c r="A24" s="9" t="s">
        <v>402</v>
      </c>
      <c r="B24" s="9" t="s">
        <v>156</v>
      </c>
      <c r="C24" s="9" t="s">
        <v>380</v>
      </c>
      <c r="D24" s="9" t="s">
        <v>69</v>
      </c>
      <c r="E24" s="9" t="s">
        <v>111</v>
      </c>
      <c r="F24" s="9" t="s">
        <v>115</v>
      </c>
      <c r="G24" s="9" t="s">
        <v>382</v>
      </c>
      <c r="H24" s="9" t="s">
        <v>406</v>
      </c>
      <c r="I24" s="10" t="n">
        <f aca="false">COUNTIFS(Runs!$B$2:$B$61,$B24,Runs!$E$2:$E$61,$E24,Runs!$AO$2:$AO$61,1,Runs!$I$2:$I$61,0)</f>
        <v>10</v>
      </c>
      <c r="J24" s="10" t="n">
        <f aca="false">COUNTIFS(Runs!$B$2:$B$61,$B24,Runs!$E$2:$E$61,$F24,Runs!$AO$2:$AO$61,1,Runs!$I$2:$I$61,0)</f>
        <v>8</v>
      </c>
      <c r="K24" s="10" t="n">
        <f aca="false">AVERAGEIFS(Runs!$R$2:$R$61,Runs!$B$2:$B$61,$B24,Runs!$E$2:$E$61,$E24,Runs!$AO$2:$AO$61,1,Runs!$I$2:$I$61,0)</f>
        <v>41.896</v>
      </c>
      <c r="L24" s="10" t="n">
        <f aca="false">AVERAGEIFS(Runs!$R$2:$R$61,Runs!$B$2:$B$61,$B24,Runs!$E$2:$E$61,$F24,Runs!$AO$2:$AO$61,1,Runs!$I$2:$I$61,0)</f>
        <v>81.11125</v>
      </c>
      <c r="M24" s="10" t="n">
        <f aca="false">L24-K24</f>
        <v>39.21525</v>
      </c>
      <c r="N24" s="11" t="n">
        <v>10</v>
      </c>
      <c r="O24" s="11" t="n">
        <v>8</v>
      </c>
      <c r="P24" s="11" t="n">
        <v>41.896</v>
      </c>
      <c r="Q24" s="11" t="n">
        <v>81.1112</v>
      </c>
      <c r="R24" s="11" t="n">
        <v>39.2152</v>
      </c>
      <c r="S24" s="6" t="str">
        <f aca="false">IF(AND(I24=N24,J24=O24,ABS(K24-P24)&lt;=Settings!$B$9*MAX(1,ABS(P24)),ABS(L24-Q24)&lt;=Settings!$B$9*MAX(1,ABS(Q24)),ABS(M24-R24)&lt;=Settings!$B$9*MAX(1,ABS(R24))),"ok","CHECK")</f>
        <v>ok</v>
      </c>
      <c r="T24" s="9" t="s">
        <v>387</v>
      </c>
      <c r="U24" s="2"/>
      <c r="V24" s="2"/>
      <c r="W24" s="11" t="n">
        <v>13.6084</v>
      </c>
      <c r="X24" s="11" t="n">
        <v>64.7514</v>
      </c>
      <c r="Y24" s="2"/>
      <c r="Z24" s="2"/>
      <c r="AA24" s="11" t="n">
        <v>13.962</v>
      </c>
      <c r="AB24" s="11" t="n">
        <v>64.3978</v>
      </c>
      <c r="AC24" s="6" t="s">
        <v>405</v>
      </c>
      <c r="AD24" s="11" t="n">
        <v>0.059994</v>
      </c>
      <c r="AE24" s="11" t="n">
        <v>0.0594136</v>
      </c>
      <c r="AF24" s="9" t="n">
        <v>1296</v>
      </c>
      <c r="AG24" s="6" t="str">
        <f aca="false">IF(ABS(AD24-AE24)&lt;=3*SQRT(AE24*(1-AE24)/Settings!$B$6)+1/(Settings!$B$6+1),"ok","CHECK")</f>
        <v>ok</v>
      </c>
      <c r="AH24" s="10" t="n">
        <f aca="false">MIN(1,IF(AD24=MIN($AD$22,$AD$23,$AD$24),3*MIN($AD$22,$AD$23,$AD$24),IF(AD24&lt;MAX($AD$22,$AD$23,$AD$24),MAX(3*MIN($AD$22,$AD$23,$AD$24),2*AD24),MAX(3*MIN($AD$22,$AD$23,$AD$24),2*($AD$22+$AD$23+$AD$24-MIN($AD$22,$AD$23,$AD$24)-MAX($AD$22,$AD$23,$AD$24)),MAX($AD$22,$AD$23,$AD$24)))))</f>
        <v>0.179982</v>
      </c>
      <c r="AI24" s="11" t="n">
        <v>0.179982</v>
      </c>
      <c r="AJ24" s="6" t="str">
        <f aca="false">IF(ABS(AH24-AI24)&lt;=Settings!$B$9*MAX(1,ABS(AI24)),"ok","CHECK")</f>
        <v>ok</v>
      </c>
      <c r="AK24" s="6" t="str">
        <f aca="false">IF(AH24&lt;Settings!$B$2,"different","undetermined")</f>
        <v>undetermined</v>
      </c>
      <c r="AL24" s="9" t="s">
        <v>385</v>
      </c>
      <c r="AM24" s="6" t="str">
        <f aca="false">IF(AK24=AL24,"ok","CHECK")</f>
        <v>ok</v>
      </c>
      <c r="AN24" s="6" t="n">
        <f aca="false">IF(AK24="different","",MAX(ABS(AA24),ABS(AB24)))</f>
        <v>64.3978</v>
      </c>
      <c r="AO24" s="11" t="n">
        <v>64.3978</v>
      </c>
      <c r="AP24" s="6" t="str">
        <f aca="false">IF(IF(AND(ISNUMBER(AN24),ISNUMBER(AO24)),ABS(N(AN24)-N(AO24))&lt;=Settings!$B$9*MAX(1,ABS(N(AO24))),AND(AN24="",AO24="")),"ok","CHECK")</f>
        <v>ok</v>
      </c>
      <c r="AQ24" s="2"/>
      <c r="AR24" s="2"/>
      <c r="AS24" s="2"/>
      <c r="AT24" s="2"/>
      <c r="AU24" s="2"/>
      <c r="AV24" s="2"/>
      <c r="AW24" s="2"/>
      <c r="AX24" s="2"/>
      <c r="AY24" s="2"/>
      <c r="AZ24" s="2"/>
    </row>
    <row r="25" customFormat="false" ht="15" hidden="false" customHeight="false" outlineLevel="0" collapsed="false">
      <c r="A25" s="9" t="s">
        <v>407</v>
      </c>
      <c r="B25" s="9" t="s">
        <v>156</v>
      </c>
      <c r="C25" s="9" t="s">
        <v>380</v>
      </c>
      <c r="D25" s="9" t="s">
        <v>69</v>
      </c>
      <c r="E25" s="9" t="s">
        <v>111</v>
      </c>
      <c r="F25" s="9" t="s">
        <v>115</v>
      </c>
      <c r="G25" s="9" t="s">
        <v>382</v>
      </c>
      <c r="H25" s="9" t="s">
        <v>408</v>
      </c>
      <c r="I25" s="10" t="n">
        <f aca="false">COUNTIFS(Runs!$B$2:$B$61,$B25,Runs!$E$2:$E$61,$E25,Runs!$AO$2:$AO$61,1)</f>
        <v>12</v>
      </c>
      <c r="J25" s="10" t="n">
        <f aca="false">COUNTIFS(Runs!$B$2:$B$61,$B25,Runs!$E$2:$E$61,$F25,Runs!$AO$2:$AO$61,1)</f>
        <v>12</v>
      </c>
      <c r="K25" s="10" t="n">
        <f aca="false">AVERAGEIFS(Runs!$S$2:$S$61,Runs!$B$2:$B$61,$B25,Runs!$E$2:$E$61,$E25,Runs!$AO$2:$AO$61,1)</f>
        <v>38.0741666666667</v>
      </c>
      <c r="L25" s="10" t="n">
        <f aca="false">AVERAGEIFS(Runs!$S$2:$S$61,Runs!$B$2:$B$61,$B25,Runs!$E$2:$E$61,$F25,Runs!$AO$2:$AO$61,1)</f>
        <v>77.0058333333333</v>
      </c>
      <c r="M25" s="10" t="n">
        <f aca="false">L25-K25</f>
        <v>38.9316666666667</v>
      </c>
      <c r="N25" s="11" t="n">
        <v>12</v>
      </c>
      <c r="O25" s="11" t="n">
        <v>12</v>
      </c>
      <c r="P25" s="11" t="n">
        <v>38.0742</v>
      </c>
      <c r="Q25" s="11" t="n">
        <v>77.0058</v>
      </c>
      <c r="R25" s="11" t="n">
        <v>38.9317</v>
      </c>
      <c r="S25" s="6" t="str">
        <f aca="false">IF(AND(I25=N25,J25=O25,ABS(K25-P25)&lt;=Settings!$B$9*MAX(1,ABS(P25)),ABS(L25-Q25)&lt;=Settings!$B$9*MAX(1,ABS(Q25)),ABS(M25-R25)&lt;=Settings!$B$9*MAX(1,ABS(R25))),"ok","CHECK")</f>
        <v>ok</v>
      </c>
      <c r="T25" s="9" t="s">
        <v>387</v>
      </c>
      <c r="U25" s="2"/>
      <c r="V25" s="2"/>
      <c r="W25" s="11" t="n">
        <v>11.3348</v>
      </c>
      <c r="X25" s="11" t="n">
        <v>66.8671</v>
      </c>
      <c r="Y25" s="2"/>
      <c r="Z25" s="2"/>
      <c r="AA25" s="11" t="n">
        <v>17.7432</v>
      </c>
      <c r="AB25" s="11" t="n">
        <v>60.3547</v>
      </c>
      <c r="AC25" s="6" t="s">
        <v>405</v>
      </c>
      <c r="AD25" s="11" t="n">
        <v>0.0368963</v>
      </c>
      <c r="AE25" s="11" t="n">
        <v>0.033179</v>
      </c>
      <c r="AF25" s="9" t="n">
        <v>46656</v>
      </c>
      <c r="AG25" s="6" t="str">
        <f aca="false">IF(ABS(AD25-AE25)&lt;=3*SQRT(AE25*(1-AE25)/Settings!$B$6)+1/(Settings!$B$6+1),"ok","CHECK")</f>
        <v>ok</v>
      </c>
      <c r="AH25" s="10" t="n">
        <f aca="false">MIN(1,IF(AD25=MIN($AD$11,$AD$12,AD25),3*MIN($AD$11,$AD$12,AD25),IF(AD25&lt;MAX($AD$11,$AD$12,AD25),MAX(3*MIN($AD$11,$AD$12,AD25),2*AD25),MAX(3*MIN($AD$11,$AD$12,AD25),2*($AD$11+$AD$12+AD25-MIN($AD$11,$AD$12,AD25)-MAX($AD$11,$AD$12,AD25)),MAX($AD$11,$AD$12,AD25)))))</f>
        <v>0.1106889</v>
      </c>
      <c r="AI25" s="11" t="n">
        <v>0.110689</v>
      </c>
      <c r="AJ25" s="6" t="str">
        <f aca="false">IF(ABS(AH25-AI25)&lt;=Settings!$B$9*MAX(1,ABS(AI25)),"ok","CHECK")</f>
        <v>ok</v>
      </c>
      <c r="AK25" s="6" t="str">
        <f aca="false">IF(AH25&lt;Settings!$B$2,"different","undetermined")</f>
        <v>undetermined</v>
      </c>
      <c r="AL25" s="9" t="s">
        <v>385</v>
      </c>
      <c r="AM25" s="6" t="str">
        <f aca="false">IF(AK25=AL25,"ok","CHECK")</f>
        <v>ok</v>
      </c>
      <c r="AN25" s="6" t="n">
        <f aca="false">IF(AK25="different","",MAX(ABS(AA25),ABS(AB25)))</f>
        <v>60.3547</v>
      </c>
      <c r="AO25" s="11" t="n">
        <v>60.3547</v>
      </c>
      <c r="AP25" s="6" t="str">
        <f aca="false">IF(IF(AND(ISNUMBER(AN25),ISNUMBER(AO25)),ABS(N(AN25)-N(AO25))&lt;=Settings!$B$9*MAX(1,ABS(N(AO25))),AND(AN25="",AO25="")),"ok","CHECK")</f>
        <v>ok</v>
      </c>
      <c r="AQ25" s="2"/>
      <c r="AR25" s="2"/>
      <c r="AS25" s="2"/>
      <c r="AT25" s="2"/>
      <c r="AU25" s="2"/>
      <c r="AV25" s="2"/>
      <c r="AW25" s="2"/>
      <c r="AX25" s="2"/>
      <c r="AY25" s="2"/>
      <c r="AZ25" s="2"/>
    </row>
  </sheetData>
  <conditionalFormatting sqref="S2:S25">
    <cfRule type="cellIs" priority="2" operator="equal" aboveAverage="0" equalAverage="0" bottom="0" percent="0" rank="0" text="" dxfId="0">
      <formula>"ok"</formula>
    </cfRule>
    <cfRule type="cellIs" priority="3" operator="equal" aboveAverage="0" equalAverage="0" bottom="0" percent="0" rank="0" text="" dxfId="0">
      <formula>"close"</formula>
    </cfRule>
    <cfRule type="cellIs" priority="4" operator="equal" aboveAverage="0" equalAverage="0" bottom="0" percent="0" rank="0" text="" dxfId="1">
      <formula>"CHECK"</formula>
    </cfRule>
    <cfRule type="cellIs" priority="5" operator="equal" aboveAverage="0" equalAverage="0" bottom="0" percent="0" rank="0" text="" dxfId="1">
      <formula>"not close"</formula>
    </cfRule>
  </conditionalFormatting>
  <conditionalFormatting sqref="AC2:AC25">
    <cfRule type="cellIs" priority="6" operator="equal" aboveAverage="0" equalAverage="0" bottom="0" percent="0" rank="0" text="" dxfId="0">
      <formula>"ok"</formula>
    </cfRule>
    <cfRule type="cellIs" priority="7" operator="equal" aboveAverage="0" equalAverage="0" bottom="0" percent="0" rank="0" text="" dxfId="0">
      <formula>"close"</formula>
    </cfRule>
    <cfRule type="cellIs" priority="8" operator="equal" aboveAverage="0" equalAverage="0" bottom="0" percent="0" rank="0" text="" dxfId="1">
      <formula>"CHECK"</formula>
    </cfRule>
    <cfRule type="cellIs" priority="9" operator="equal" aboveAverage="0" equalAverage="0" bottom="0" percent="0" rank="0" text="" dxfId="1">
      <formula>"not close"</formula>
    </cfRule>
  </conditionalFormatting>
  <conditionalFormatting sqref="AG2:AG25">
    <cfRule type="cellIs" priority="10" operator="equal" aboveAverage="0" equalAverage="0" bottom="0" percent="0" rank="0" text="" dxfId="0">
      <formula>"ok"</formula>
    </cfRule>
    <cfRule type="cellIs" priority="11" operator="equal" aboveAverage="0" equalAverage="0" bottom="0" percent="0" rank="0" text="" dxfId="0">
      <formula>"close"</formula>
    </cfRule>
    <cfRule type="cellIs" priority="12" operator="equal" aboveAverage="0" equalAverage="0" bottom="0" percent="0" rank="0" text="" dxfId="1">
      <formula>"CHECK"</formula>
    </cfRule>
    <cfRule type="cellIs" priority="13" operator="equal" aboveAverage="0" equalAverage="0" bottom="0" percent="0" rank="0" text="" dxfId="1">
      <formula>"not close"</formula>
    </cfRule>
  </conditionalFormatting>
  <conditionalFormatting sqref="AJ2:AJ25">
    <cfRule type="cellIs" priority="14" operator="equal" aboveAverage="0" equalAverage="0" bottom="0" percent="0" rank="0" text="" dxfId="0">
      <formula>"ok"</formula>
    </cfRule>
    <cfRule type="cellIs" priority="15" operator="equal" aboveAverage="0" equalAverage="0" bottom="0" percent="0" rank="0" text="" dxfId="0">
      <formula>"close"</formula>
    </cfRule>
    <cfRule type="cellIs" priority="16" operator="equal" aboveAverage="0" equalAverage="0" bottom="0" percent="0" rank="0" text="" dxfId="1">
      <formula>"CHECK"</formula>
    </cfRule>
    <cfRule type="cellIs" priority="17" operator="equal" aboveAverage="0" equalAverage="0" bottom="0" percent="0" rank="0" text="" dxfId="1">
      <formula>"not close"</formula>
    </cfRule>
  </conditionalFormatting>
  <conditionalFormatting sqref="AM2:AM25">
    <cfRule type="cellIs" priority="18" operator="equal" aboveAverage="0" equalAverage="0" bottom="0" percent="0" rank="0" text="" dxfId="0">
      <formula>"ok"</formula>
    </cfRule>
    <cfRule type="cellIs" priority="19" operator="equal" aboveAverage="0" equalAverage="0" bottom="0" percent="0" rank="0" text="" dxfId="0">
      <formula>"close"</formula>
    </cfRule>
    <cfRule type="cellIs" priority="20" operator="equal" aboveAverage="0" equalAverage="0" bottom="0" percent="0" rank="0" text="" dxfId="1">
      <formula>"CHECK"</formula>
    </cfRule>
    <cfRule type="cellIs" priority="21" operator="equal" aboveAverage="0" equalAverage="0" bottom="0" percent="0" rank="0" text="" dxfId="1">
      <formula>"not close"</formula>
    </cfRule>
  </conditionalFormatting>
  <conditionalFormatting sqref="AP2:AP25">
    <cfRule type="cellIs" priority="22" operator="equal" aboveAverage="0" equalAverage="0" bottom="0" percent="0" rank="0" text="" dxfId="0">
      <formula>"ok"</formula>
    </cfRule>
    <cfRule type="cellIs" priority="23" operator="equal" aboveAverage="0" equalAverage="0" bottom="0" percent="0" rank="0" text="" dxfId="0">
      <formula>"close"</formula>
    </cfRule>
    <cfRule type="cellIs" priority="24" operator="equal" aboveAverage="0" equalAverage="0" bottom="0" percent="0" rank="0" text="" dxfId="1">
      <formula>"CHECK"</formula>
    </cfRule>
    <cfRule type="cellIs" priority="25" operator="equal" aboveAverage="0" equalAverage="0" bottom="0" percent="0" rank="0" text="" dxfId="1">
      <formula>"not close"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2026-10-22T17:45:46Z</dcterms:created>
  <dc:creator>openpyxl</dc:creator>
  <dc:description/>
  <dc:language>en-US</dc:language>
  <cp:lastModifiedBy/>
  <dcterms:modified xsi:type="dcterms:W3CDTF">2026-10-22T17:45:46Z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